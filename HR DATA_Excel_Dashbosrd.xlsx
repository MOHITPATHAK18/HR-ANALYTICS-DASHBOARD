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Projects\"/>
    </mc:Choice>
  </mc:AlternateContent>
  <xr:revisionPtr revIDLastSave="0" documentId="13_ncr:1_{7FD25F40-820B-49B9-AA20-81656CDA6DB3}" xr6:coauthVersionLast="47" xr6:coauthVersionMax="47" xr10:uidLastSave="{00000000-0000-0000-0000-000000000000}"/>
  <bookViews>
    <workbookView xWindow="-108" yWindow="-108" windowWidth="23256" windowHeight="12456" tabRatio="1000" firstSheet="3" activeTab="11" xr2:uid="{00000000-000D-0000-FFFF-FFFF00000000}"/>
  </bookViews>
  <sheets>
    <sheet name="KPI" sheetId="7" r:id="rId1"/>
    <sheet name="Rating" sheetId="11" r:id="rId2"/>
    <sheet name="Gender" sheetId="12" r:id="rId3"/>
    <sheet name="Education by Attrition" sheetId="13" r:id="rId4"/>
    <sheet name="Attrition by Job" sheetId="14" r:id="rId5"/>
    <sheet name="Dept wise Attrition" sheetId="15" r:id="rId6"/>
    <sheet name="Attrition by Age group" sheetId="16" r:id="rId7"/>
    <sheet name="Marital Status" sheetId="17" r:id="rId8"/>
    <sheet name="Data" sheetId="1" r:id="rId9"/>
    <sheet name="Images" sheetId="2" r:id="rId10"/>
    <sheet name="Background 1" sheetId="3" r:id="rId11"/>
    <sheet name="Dashboard" sheetId="10" r:id="rId12"/>
    <sheet name="Background 2" sheetId="4" state="hidden" r:id="rId13"/>
    <sheet name="Background 3" sheetId="5" state="hidden" r:id="rId14"/>
    <sheet name="Background 4" sheetId="6" state="hidden" r:id="rId15"/>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2">#N/A</definedName>
    <definedName name="Slicer_Gender2">#N/A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5" i="17" l="1"/>
  <c r="D4" i="17"/>
  <c r="D6" i="17"/>
  <c r="D11" i="14"/>
  <c r="D12" i="14"/>
  <c r="D5" i="14"/>
  <c r="D6" i="14"/>
  <c r="D7" i="14"/>
  <c r="D8" i="14"/>
  <c r="D9" i="14"/>
  <c r="D10" i="14"/>
  <c r="D4" i="14"/>
  <c r="E5" i="17"/>
  <c r="B9" i="12"/>
  <c r="B8" i="12"/>
  <c r="E10" i="14"/>
  <c r="B6" i="11"/>
  <c r="E12" i="14"/>
  <c r="E8" i="14"/>
  <c r="E4" i="17"/>
  <c r="E4" i="14"/>
  <c r="E6" i="14"/>
  <c r="E11" i="14"/>
  <c r="B7" i="7"/>
  <c r="E6" i="17"/>
  <c r="A7" i="7"/>
  <c r="E7" i="14"/>
  <c r="E5" i="14"/>
  <c r="E9" i="14"/>
  <c r="C7" i="7"/>
  <c r="C8" i="12" l="1"/>
  <c r="C9" i="12"/>
  <c r="C6" i="11"/>
  <c r="B7" i="11"/>
  <c r="C7" i="11" s="1"/>
  <c r="E7" i="7"/>
  <c r="D7" i="7"/>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<sst xmlns="http://schemas.openxmlformats.org/spreadsheetml/2006/main" count="19216" uniqueCount="1569">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</sst>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1"/>
      <name val="Agency FB"/>
      <family val="2"/>
    </font>
    <fon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2" fillId="2" borderId="0" xfId="0" applyFont="1" applyFill="1"/>
    <xf numFmtId="0" fontId="0" fillId="2" borderId="0" xfId="0" applyFill="1"/>
    <xf numFmtId="164" fontId="0" fillId="0" borderId="4" xfId="0" applyNumberFormat="1" applyBorder="1"/>
    <xf numFmtId="0" fontId="3" fillId="0" borderId="0" xfId="0"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4" xfId="0" applyNumberFormat="1" applyBorder="1"/>
    <xf numFmtId="0" fontId="0" fillId="0" borderId="3" xfId="0" applyNumberFormat="1" applyBorder="1"/>
    <xf numFmtId="0" fontId="0" fillId="0" borderId="10" xfId="0" applyNumberFormat="1" applyBorder="1"/>
    <xf numFmtId="0" fontId="0" fillId="0" borderId="4" xfId="0" applyNumberFormat="1" applyBorder="1"/>
    <xf numFmtId="10" fontId="0" fillId="0" borderId="10" xfId="0" applyNumberFormat="1" applyBorder="1"/>
    <xf numFmtId="0" fontId="0" fillId="0" borderId="6" xfId="0" applyNumberFormat="1" applyBorder="1"/>
    <xf numFmtId="0" fontId="0" fillId="0" borderId="9" xfId="0" applyNumberFormat="1" applyBorder="1"/>
    <xf numFmtId="0" fontId="0" fillId="0" borderId="7" xfId="0" applyNumberFormat="1" applyBorder="1"/>
  </cellXfs>
  <cellStyles count="2">
    <cellStyle name="Normal" xfId="0" builtinId="0"/>
    <cellStyle name="Percent" xfId="1" builtinId="5"/>
  </cellStyles>
  <dxfs count="6">
    <dxf>
      <numFmt numFmtId="164" formatCode="0.0"/>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
      <tableStyleElement type="firstRowStripe" dxfId="4"/>
      <tableStyleElement type="secondRowStripe" dxfId="3"/>
    </tableStyle>
    <tableStyle name="Slicer " pivot="0" table="0" count="4" xr9:uid="{753DC7CA-ED68-4146-A93F-5336A7649F79}">
      <tableStyleElement type="wholeTable" dxfId="2"/>
    </tableStyle>
  </tableStyles>
  <colors>
    <mruColors>
      <color rgb="FF602928"/>
      <color rgb="FFB21E8F"/>
      <color rgb="FFCC0E76"/>
      <color rgb="FF681C5B"/>
      <color rgb="FFC5112B"/>
      <color rgb="FFE56DC0"/>
      <color rgb="FF5F0953"/>
    </mruColors>
  </colors>
  <extLst>
    <ext xmlns:x14="http://schemas.microsoft.com/office/spreadsheetml/2009/9/main" uri="{46F421CA-312F-682f-3DD2-61675219B42D}">
      <x14:dxfs count="3">
        <dxf>
          <fill>
            <gradientFill>
              <stop position="0">
                <color theme="3" tint="0.34900967436750391"/>
              </stop>
              <stop position="1">
                <color theme="0" tint="-0.34900967436750391"/>
              </stop>
            </gradientFill>
          </fill>
        </dxf>
        <dxf>
          <font>
            <b/>
            <i val="0"/>
            <color theme="0"/>
            <name val="Calibri"/>
            <family val="2"/>
            <scheme val="minor"/>
          </font>
          <fill>
            <gradientFill>
              <stop position="0">
                <color rgb="FF00B050"/>
              </stop>
              <stop position="1">
                <color theme="9" tint="-0.49803155613879818"/>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911832895888011"/>
          <c:y val="0.1300462962962963"/>
          <c:w val="0.46120800524934374"/>
          <c:h val="0.7686800087489061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F3-406F-904F-3A65590CBF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F3-406F-904F-3A65590CBF8A}"/>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419A-4073-B4D9-067DE84E4A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8C3-43AF-8C93-D7D888B46013}"/>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8C3-43AF-8C93-D7D888B46013}"/>
            </c:ext>
          </c:extLst>
        </c:ser>
        <c:dLbls>
          <c:showLegendKey val="0"/>
          <c:showVal val="0"/>
          <c:showCatName val="0"/>
          <c:showSerName val="0"/>
          <c:showPercent val="0"/>
          <c:showBubbleSize val="0"/>
        </c:dLbls>
        <c:gapWidth val="0"/>
        <c:overlap val="100"/>
        <c:axId val="690791072"/>
        <c:axId val="690794432"/>
      </c:barChart>
      <c:catAx>
        <c:axId val="690791072"/>
        <c:scaling>
          <c:orientation val="minMax"/>
        </c:scaling>
        <c:delete val="1"/>
        <c:axPos val="l"/>
        <c:majorTickMark val="none"/>
        <c:minorTickMark val="none"/>
        <c:tickLblPos val="nextTo"/>
        <c:crossAx val="690794432"/>
        <c:crosses val="autoZero"/>
        <c:auto val="1"/>
        <c:lblAlgn val="ctr"/>
        <c:lblOffset val="100"/>
        <c:noMultiLvlLbl val="0"/>
      </c:catAx>
      <c:valAx>
        <c:axId val="690794432"/>
        <c:scaling>
          <c:orientation val="minMax"/>
          <c:max val="4"/>
          <c:min val="0"/>
        </c:scaling>
        <c:delete val="1"/>
        <c:axPos val="b"/>
        <c:numFmt formatCode="0.0" sourceLinked="1"/>
        <c:majorTickMark val="none"/>
        <c:minorTickMark val="none"/>
        <c:tickLblPos val="nextTo"/>
        <c:crossAx val="69079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745166229221353"/>
          <c:y val="0.17634259259259263"/>
          <c:w val="0.40287467191601051"/>
          <c:h val="0.671457786526684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72-412F-B2C1-B9B082CEA7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72-412F-B2C1-B9B082CEA72E}"/>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72EA-4FAB-BFD2-424C9482B2A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DATA_Excel_Dashbosrd.xlsx]Education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46F-45E7-A987-AC80D2F8D95D}"/>
            </c:ext>
          </c:extLst>
        </c:ser>
        <c:dLbls>
          <c:dLblPos val="outEnd"/>
          <c:showLegendKey val="0"/>
          <c:showVal val="1"/>
          <c:showCatName val="0"/>
          <c:showSerName val="0"/>
          <c:showPercent val="0"/>
          <c:showBubbleSize val="0"/>
        </c:dLbls>
        <c:gapWidth val="182"/>
        <c:axId val="817564912"/>
        <c:axId val="817560112"/>
      </c:barChart>
      <c:catAx>
        <c:axId val="817564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60112"/>
        <c:crosses val="autoZero"/>
        <c:auto val="1"/>
        <c:lblAlgn val="ctr"/>
        <c:lblOffset val="100"/>
        <c:noMultiLvlLbl val="0"/>
      </c:catAx>
      <c:valAx>
        <c:axId val="817560112"/>
        <c:scaling>
          <c:orientation val="minMax"/>
        </c:scaling>
        <c:delete val="1"/>
        <c:axPos val="b"/>
        <c:numFmt formatCode="General" sourceLinked="1"/>
        <c:majorTickMark val="out"/>
        <c:minorTickMark val="none"/>
        <c:tickLblPos val="nextTo"/>
        <c:crossAx val="81756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DATA_Excel_Dashbosrd.xlsx]Dept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AB-4B17-90C1-498C029FF7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AB-4B17-90C1-498C029FF7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AB-4B17-90C1-498C029FF7B1}"/>
              </c:ext>
            </c:extLst>
          </c:dPt>
          <c:cat>
            <c:strRef>
              <c:f>'Dept wise Attrition'!$A$4:$A$7</c:f>
              <c:strCache>
                <c:ptCount val="3"/>
                <c:pt idx="0">
                  <c:v>HR</c:v>
                </c:pt>
                <c:pt idx="1">
                  <c:v>R&amp;D</c:v>
                </c:pt>
                <c:pt idx="2">
                  <c:v>Sales</c:v>
                </c:pt>
              </c:strCache>
            </c:strRef>
          </c:cat>
          <c:val>
            <c:numRef>
              <c:f>'Dept wise Attrition'!$B$4:$B$7</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A70D-43DB-97CE-8957B211B9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DATA_Excel_Dashbosrd.xlsx]Attrition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C53-44A6-A13E-A17440D0A131}"/>
            </c:ext>
          </c:extLst>
        </c:ser>
        <c:dLbls>
          <c:showLegendKey val="0"/>
          <c:showVal val="0"/>
          <c:showCatName val="0"/>
          <c:showSerName val="0"/>
          <c:showPercent val="0"/>
          <c:showBubbleSize val="0"/>
        </c:dLbls>
        <c:gapWidth val="219"/>
        <c:overlap val="-27"/>
        <c:axId val="817563472"/>
        <c:axId val="817564432"/>
      </c:barChart>
      <c:catAx>
        <c:axId val="81756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64432"/>
        <c:crosses val="autoZero"/>
        <c:auto val="1"/>
        <c:lblAlgn val="ctr"/>
        <c:lblOffset val="100"/>
        <c:noMultiLvlLbl val="0"/>
      </c:catAx>
      <c:valAx>
        <c:axId val="81756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6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9925872099885"/>
          <c:y val="0.26506794245656001"/>
          <c:w val="0.40128272881267962"/>
          <c:h val="0.45207747765706502"/>
        </c:manualLayout>
      </c:layout>
      <c:doughnutChart>
        <c:varyColors val="1"/>
        <c:ser>
          <c:idx val="0"/>
          <c:order val="0"/>
          <c:dPt>
            <c:idx val="0"/>
            <c:bubble3D val="0"/>
            <c:spPr>
              <a:gradFill>
                <a:gsLst>
                  <a:gs pos="0">
                    <a:schemeClr val="accent3">
                      <a:lumMod val="50000"/>
                    </a:schemeClr>
                  </a:gs>
                  <a:gs pos="100000">
                    <a:srgbClr val="00B050"/>
                  </a:gs>
                </a:gsLst>
                <a:lin ang="5400000" scaled="1"/>
              </a:gradFill>
              <a:ln w="19050">
                <a:noFill/>
              </a:ln>
              <a:effectLst/>
            </c:spPr>
            <c:extLst>
              <c:ext xmlns:c16="http://schemas.microsoft.com/office/drawing/2014/chart" uri="{C3380CC4-5D6E-409C-BE32-E72D297353CC}">
                <c16:uniqueId val="{00000001-6ACF-448A-B784-8C999FB54765}"/>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6ACF-448A-B784-8C999FB5476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6ACF-448A-B784-8C999FB5476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367769486636264E-2"/>
          <c:y val="0.23655913978494625"/>
          <c:w val="0.83448287846293534"/>
          <c:h val="0.5268817204301075"/>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76E-40AB-B88E-D322097600EC}"/>
            </c:ext>
          </c:extLst>
        </c:ser>
        <c:ser>
          <c:idx val="1"/>
          <c:order val="1"/>
          <c:spPr>
            <a:solidFill>
              <a:schemeClr val="bg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76E-40AB-B88E-D322097600EC}"/>
            </c:ext>
          </c:extLst>
        </c:ser>
        <c:dLbls>
          <c:showLegendKey val="0"/>
          <c:showVal val="0"/>
          <c:showCatName val="0"/>
          <c:showSerName val="0"/>
          <c:showPercent val="0"/>
          <c:showBubbleSize val="0"/>
        </c:dLbls>
        <c:gapWidth val="0"/>
        <c:overlap val="100"/>
        <c:axId val="690791072"/>
        <c:axId val="690794432"/>
      </c:barChart>
      <c:catAx>
        <c:axId val="690791072"/>
        <c:scaling>
          <c:orientation val="minMax"/>
        </c:scaling>
        <c:delete val="1"/>
        <c:axPos val="l"/>
        <c:majorTickMark val="none"/>
        <c:minorTickMark val="none"/>
        <c:tickLblPos val="nextTo"/>
        <c:crossAx val="690794432"/>
        <c:crosses val="autoZero"/>
        <c:auto val="1"/>
        <c:lblAlgn val="ctr"/>
        <c:lblOffset val="100"/>
        <c:noMultiLvlLbl val="0"/>
      </c:catAx>
      <c:valAx>
        <c:axId val="690794432"/>
        <c:scaling>
          <c:orientation val="minMax"/>
          <c:max val="4"/>
          <c:min val="0"/>
        </c:scaling>
        <c:delete val="1"/>
        <c:axPos val="b"/>
        <c:numFmt formatCode="0.0" sourceLinked="1"/>
        <c:majorTickMark val="none"/>
        <c:minorTickMark val="none"/>
        <c:tickLblPos val="nextTo"/>
        <c:crossAx val="69079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745166229221353"/>
          <c:y val="0.17634259259259263"/>
          <c:w val="0.40287467191601051"/>
          <c:h val="0.6714577865266842"/>
        </c:manualLayout>
      </c:layout>
      <c:doughnutChart>
        <c:varyColors val="1"/>
        <c:ser>
          <c:idx val="0"/>
          <c:order val="0"/>
          <c:spPr>
            <a:ln>
              <a:noFill/>
            </a:ln>
          </c:spPr>
          <c:dPt>
            <c:idx val="0"/>
            <c:bubble3D val="0"/>
            <c:spPr>
              <a:gradFill>
                <a:gsLst>
                  <a:gs pos="0">
                    <a:srgbClr val="5F0953"/>
                  </a:gs>
                  <a:gs pos="100000">
                    <a:srgbClr val="E56DC0"/>
                  </a:gs>
                </a:gsLst>
                <a:lin ang="10800000" scaled="0"/>
              </a:gradFill>
              <a:ln w="19050">
                <a:noFill/>
              </a:ln>
              <a:effectLst/>
            </c:spPr>
            <c:extLst>
              <c:ext xmlns:c16="http://schemas.microsoft.com/office/drawing/2014/chart" uri="{C3380CC4-5D6E-409C-BE32-E72D297353CC}">
                <c16:uniqueId val="{00000001-2646-4DFF-BEB3-ACD3B335493E}"/>
              </c:ext>
            </c:extLst>
          </c:dPt>
          <c:dPt>
            <c:idx val="1"/>
            <c:bubble3D val="0"/>
            <c:spPr>
              <a:solidFill>
                <a:schemeClr val="bg2"/>
              </a:solidFill>
              <a:ln w="19050">
                <a:noFill/>
              </a:ln>
              <a:effectLst/>
            </c:spPr>
            <c:extLst>
              <c:ext xmlns:c16="http://schemas.microsoft.com/office/drawing/2014/chart" uri="{C3380CC4-5D6E-409C-BE32-E72D297353CC}">
                <c16:uniqueId val="{00000003-2646-4DFF-BEB3-ACD3B335493E}"/>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2646-4DFF-BEB3-ACD3B335493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0967362039360919"/>
          <c:y val="0.33690019228734724"/>
          <c:w val="0.40287467191601051"/>
          <c:h val="0.6714577865266842"/>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98D6-4A5E-BE59-B06E06B5E1EB}"/>
              </c:ext>
            </c:extLst>
          </c:dPt>
          <c:dPt>
            <c:idx val="1"/>
            <c:bubble3D val="0"/>
            <c:spPr>
              <a:gradFill>
                <a:gsLst>
                  <a:gs pos="0">
                    <a:schemeClr val="accent1">
                      <a:lumMod val="50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98D6-4A5E-BE59-B06E06B5E1EB}"/>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98D6-4A5E-BE59-B06E06B5E1E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DATA_Excel_Dashbosrd.xlsx]Education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2">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A4C-433C-870D-7A08BDE21A20}"/>
            </c:ext>
          </c:extLst>
        </c:ser>
        <c:dLbls>
          <c:dLblPos val="outEnd"/>
          <c:showLegendKey val="0"/>
          <c:showVal val="1"/>
          <c:showCatName val="0"/>
          <c:showSerName val="0"/>
          <c:showPercent val="0"/>
          <c:showBubbleSize val="0"/>
        </c:dLbls>
        <c:gapWidth val="75"/>
        <c:axId val="817564912"/>
        <c:axId val="817560112"/>
      </c:barChart>
      <c:catAx>
        <c:axId val="817564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7560112"/>
        <c:crosses val="autoZero"/>
        <c:auto val="1"/>
        <c:lblAlgn val="ctr"/>
        <c:lblOffset val="100"/>
        <c:noMultiLvlLbl val="0"/>
      </c:catAx>
      <c:valAx>
        <c:axId val="817560112"/>
        <c:scaling>
          <c:orientation val="minMax"/>
        </c:scaling>
        <c:delete val="1"/>
        <c:axPos val="b"/>
        <c:numFmt formatCode="General" sourceLinked="1"/>
        <c:majorTickMark val="out"/>
        <c:minorTickMark val="none"/>
        <c:tickLblPos val="nextTo"/>
        <c:crossAx val="81756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DATA_Excel_Dashbosrd.xlsx]Dept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3">
                  <a:lumMod val="75000"/>
                </a:schemeClr>
              </a:gs>
            </a:gsLst>
            <a:lin ang="10800000" scaled="0"/>
          </a:gradFill>
          <a:ln w="9525">
            <a:solidFill>
              <a:schemeClr val="bg1">
                <a:lumMod val="75000"/>
              </a:schemeClr>
            </a:solidFill>
          </a:ln>
          <a:effectLst/>
        </c:spPr>
        <c:dLbl>
          <c:idx val="0"/>
          <c:layout>
            <c:manualLayout>
              <c:x val="-2.078915135608057E-2"/>
              <c:y val="7.41383471162323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75000"/>
                </a:schemeClr>
              </a:gs>
              <a:gs pos="100000">
                <a:schemeClr val="accent3">
                  <a:lumMod val="50000"/>
                </a:schemeClr>
              </a:gs>
            </a:gsLst>
            <a:lin ang="10800000" scaled="0"/>
          </a:gradFill>
          <a:ln w="9525">
            <a:solidFill>
              <a:schemeClr val="bg1">
                <a:lumMod val="75000"/>
              </a:schemeClr>
            </a:solidFill>
          </a:ln>
          <a:effectLst/>
        </c:spPr>
      </c:pivotFmt>
      <c:pivotFmt>
        <c:idx val="8"/>
        <c:spPr>
          <a:gradFill>
            <a:gsLst>
              <a:gs pos="0">
                <a:srgbClr val="E56DC0"/>
              </a:gs>
              <a:gs pos="100000">
                <a:srgbClr val="C5112B"/>
              </a:gs>
            </a:gsLst>
            <a:lin ang="10800000" scaled="0"/>
          </a:gradFill>
          <a:ln w="9525">
            <a:solidFill>
              <a:schemeClr val="bg1">
                <a:lumMod val="75000"/>
              </a:schemeClr>
            </a:solidFill>
          </a:ln>
          <a:effectLst/>
        </c:spPr>
      </c:pivotFmt>
    </c:pivotFmts>
    <c:plotArea>
      <c:layout/>
      <c:pieChart>
        <c:varyColors val="1"/>
        <c:ser>
          <c:idx val="0"/>
          <c:order val="0"/>
          <c:tx>
            <c:strRef>
              <c:f>'Dept wise Attrition'!$B$3</c:f>
              <c:strCache>
                <c:ptCount val="1"/>
                <c:pt idx="0">
                  <c:v>Total</c:v>
                </c:pt>
              </c:strCache>
            </c:strRef>
          </c:tx>
          <c:spPr>
            <a:ln w="9525">
              <a:solidFill>
                <a:schemeClr val="bg1">
                  <a:lumMod val="75000"/>
                </a:schemeClr>
              </a:solidFill>
            </a:ln>
          </c:spPr>
          <c:dPt>
            <c:idx val="0"/>
            <c:bubble3D val="0"/>
            <c:spPr>
              <a:gradFill>
                <a:gsLst>
                  <a:gs pos="0">
                    <a:schemeClr val="accent2">
                      <a:lumMod val="75000"/>
                    </a:schemeClr>
                  </a:gs>
                  <a:gs pos="100000">
                    <a:schemeClr val="accent3">
                      <a:lumMod val="75000"/>
                    </a:schemeClr>
                  </a:gs>
                </a:gsLst>
                <a:lin ang="10800000" scaled="0"/>
              </a:gradFill>
              <a:ln w="9525">
                <a:solidFill>
                  <a:schemeClr val="bg1">
                    <a:lumMod val="75000"/>
                  </a:schemeClr>
                </a:solidFill>
              </a:ln>
              <a:effectLst/>
            </c:spPr>
            <c:extLst>
              <c:ext xmlns:c16="http://schemas.microsoft.com/office/drawing/2014/chart" uri="{C3380CC4-5D6E-409C-BE32-E72D297353CC}">
                <c16:uniqueId val="{00000001-B3E4-4935-8450-A743B20D4085}"/>
              </c:ext>
            </c:extLst>
          </c:dPt>
          <c:dPt>
            <c:idx val="1"/>
            <c:bubble3D val="0"/>
            <c:spPr>
              <a:gradFill>
                <a:gsLst>
                  <a:gs pos="0">
                    <a:schemeClr val="accent6">
                      <a:lumMod val="75000"/>
                    </a:schemeClr>
                  </a:gs>
                  <a:gs pos="100000">
                    <a:schemeClr val="accent3">
                      <a:lumMod val="50000"/>
                    </a:schemeClr>
                  </a:gs>
                </a:gsLst>
                <a:lin ang="10800000" scaled="0"/>
              </a:gradFill>
              <a:ln w="9525">
                <a:solidFill>
                  <a:schemeClr val="bg1">
                    <a:lumMod val="75000"/>
                  </a:schemeClr>
                </a:solidFill>
              </a:ln>
              <a:effectLst/>
            </c:spPr>
            <c:extLst>
              <c:ext xmlns:c16="http://schemas.microsoft.com/office/drawing/2014/chart" uri="{C3380CC4-5D6E-409C-BE32-E72D297353CC}">
                <c16:uniqueId val="{00000003-B3E4-4935-8450-A743B20D4085}"/>
              </c:ext>
            </c:extLst>
          </c:dPt>
          <c:dPt>
            <c:idx val="2"/>
            <c:bubble3D val="0"/>
            <c:spPr>
              <a:gradFill>
                <a:gsLst>
                  <a:gs pos="0">
                    <a:srgbClr val="E56DC0"/>
                  </a:gs>
                  <a:gs pos="100000">
                    <a:srgbClr val="C5112B"/>
                  </a:gs>
                </a:gsLst>
                <a:lin ang="10800000" scaled="0"/>
              </a:gradFill>
              <a:ln w="9525">
                <a:solidFill>
                  <a:schemeClr val="bg1">
                    <a:lumMod val="75000"/>
                  </a:schemeClr>
                </a:solidFill>
              </a:ln>
              <a:effectLst/>
            </c:spPr>
            <c:extLst>
              <c:ext xmlns:c16="http://schemas.microsoft.com/office/drawing/2014/chart" uri="{C3380CC4-5D6E-409C-BE32-E72D297353CC}">
                <c16:uniqueId val="{00000005-B3E4-4935-8450-A743B20D4085}"/>
              </c:ext>
            </c:extLst>
          </c:dPt>
          <c:dLbls>
            <c:dLbl>
              <c:idx val="0"/>
              <c:layout>
                <c:manualLayout>
                  <c:x val="-2.078915135608057E-2"/>
                  <c:y val="7.41383471162323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E4-4935-8450-A743B20D40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B3E4-4935-8450-A743B20D408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DATA_Excel_Dashbosrd.xlsx]Attrition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chemeClr val="accent6">
                  <a:lumMod val="60000"/>
                  <a:lumOff val="4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FF0000"/>
                </a:gs>
                <a:gs pos="100000">
                  <a:schemeClr val="accent6">
                    <a:lumMod val="60000"/>
                    <a:lumOff val="4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F11-47FC-B11F-091E2E13C0D8}"/>
            </c:ext>
          </c:extLst>
        </c:ser>
        <c:dLbls>
          <c:dLblPos val="outEnd"/>
          <c:showLegendKey val="0"/>
          <c:showVal val="1"/>
          <c:showCatName val="0"/>
          <c:showSerName val="0"/>
          <c:showPercent val="0"/>
          <c:showBubbleSize val="0"/>
        </c:dLbls>
        <c:gapWidth val="107"/>
        <c:overlap val="-27"/>
        <c:axId val="817563472"/>
        <c:axId val="817564432"/>
      </c:barChart>
      <c:catAx>
        <c:axId val="81756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817564432"/>
        <c:crosses val="autoZero"/>
        <c:auto val="1"/>
        <c:lblAlgn val="ctr"/>
        <c:lblOffset val="100"/>
        <c:noMultiLvlLbl val="0"/>
      </c:catAx>
      <c:valAx>
        <c:axId val="81756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6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EEC1338-1435-4223-A473-47CBD2ECC056}">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CB548D07-4DEB-438F-8AB6-07FCE817D2DF}">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2EEC1338-1435-4223-A473-47CBD2ECC056}">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CB548D07-4DEB-438F-8AB6-07FCE817D2DF}">
          <cx:tx>
            <cx:txData>
              <cx:f>_xlchart.v2.6</cx:f>
              <cx:v>Attrition</cx:v>
            </cx:txData>
          </cx:tx>
          <cx:spPr>
            <a:gradFill>
              <a:gsLst>
                <a:gs pos="0">
                  <a:srgbClr val="602928"/>
                </a:gs>
                <a:gs pos="100000">
                  <a:schemeClr val="bg1">
                    <a:lumMod val="50000"/>
                  </a:schemeClr>
                </a:gs>
              </a:gsLst>
              <a:lin ang="108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6</xdr:col>
      <xdr:colOff>472440</xdr:colOff>
      <xdr:row>5</xdr:row>
      <xdr:rowOff>91441</xdr:rowOff>
    </xdr:from>
    <xdr:to>
      <xdr:col>9</xdr:col>
      <xdr:colOff>289560</xdr:colOff>
      <xdr:row>10</xdr:row>
      <xdr:rowOff>91441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B079B71-68C8-618F-E62A-60DB94EE05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48600" y="108204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312420</xdr:colOff>
      <xdr:row>3</xdr:row>
      <xdr:rowOff>22860</xdr:rowOff>
    </xdr:from>
    <xdr:to>
      <xdr:col>5</xdr:col>
      <xdr:colOff>182880</xdr:colOff>
      <xdr:row>8</xdr:row>
      <xdr:rowOff>45720</xdr:rowOff>
    </xdr:to>
    <xdr:graphicFrame macro="">
      <xdr:nvGraphicFramePr>
        <xdr:cNvPr id="2" name="Chart 1">
          <a:extLst>
            <a:ext uri="{FF2B5EF4-FFF2-40B4-BE49-F238E27FC236}">
              <a16:creationId xmlns:a16="http://schemas.microsoft.com/office/drawing/2014/main" id="{2FFD32A0-4BE0-70FE-DF41-58A538E28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259080</xdr:colOff>
      <xdr:row>0</xdr:row>
      <xdr:rowOff>190501</xdr:rowOff>
    </xdr:from>
    <xdr:to>
      <xdr:col>10</xdr:col>
      <xdr:colOff>76200</xdr:colOff>
      <xdr:row>6</xdr:row>
      <xdr:rowOff>7621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B7420DCE-786A-5A2C-CD95-7A54F4D3AEB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202680" y="19050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514350</xdr:colOff>
      <xdr:row>16</xdr:row>
      <xdr:rowOff>106680</xdr:rowOff>
    </xdr:from>
    <xdr:to>
      <xdr:col>5</xdr:col>
      <xdr:colOff>483870</xdr:colOff>
      <xdr:row>22</xdr:row>
      <xdr:rowOff>118110</xdr:rowOff>
    </xdr:to>
    <xdr:graphicFrame macro="">
      <xdr:nvGraphicFramePr>
        <xdr:cNvPr id="4" name="Chart 3">
          <a:extLst>
            <a:ext uri="{FF2B5EF4-FFF2-40B4-BE49-F238E27FC236}">
              <a16:creationId xmlns:a16="http://schemas.microsoft.com/office/drawing/2014/main" id="{2C30EB1D-DCF5-F076-0E6C-35EFBBCDD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198120</xdr:colOff>
      <xdr:row>4</xdr:row>
      <xdr:rowOff>160020</xdr:rowOff>
    </xdr:from>
    <xdr:to>
      <xdr:col>14</xdr:col>
      <xdr:colOff>15240</xdr:colOff>
      <xdr:row>18</xdr:row>
      <xdr:rowOff>81915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57AA02A5-31DB-0D42-8312-B0BBA0E1EC0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823960" y="952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5</xdr:row>
      <xdr:rowOff>53340</xdr:rowOff>
    </xdr:from>
    <xdr:to>
      <xdr:col>7</xdr:col>
      <xdr:colOff>198120</xdr:colOff>
      <xdr:row>18</xdr:row>
      <xdr:rowOff>173355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B0EBDE28-B283-A98B-D2B2-B72701BEE96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10439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160020</xdr:colOff>
      <xdr:row>2</xdr:row>
      <xdr:rowOff>175260</xdr:rowOff>
    </xdr:from>
    <xdr:to>
      <xdr:col>12</xdr:col>
      <xdr:colOff>647700</xdr:colOff>
      <xdr:row>16</xdr:row>
      <xdr:rowOff>97155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1ED7C573-B07C-9573-10C6-76F1C1EB1FD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191500" y="571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327660</xdr:colOff>
      <xdr:row>12</xdr:row>
      <xdr:rowOff>60960</xdr:rowOff>
    </xdr:from>
    <xdr:to>
      <xdr:col>1</xdr:col>
      <xdr:colOff>1272540</xdr:colOff>
      <xdr:row>20</xdr:row>
      <xdr:rowOff>64770</xdr:rowOff>
    </xdr:to>
    <xdr:graphicFrame macro="">
      <xdr:nvGraphicFramePr>
        <xdr:cNvPr id="4" name="Chart 3">
          <a:extLst>
            <a:ext uri="{FF2B5EF4-FFF2-40B4-BE49-F238E27FC236}">
              <a16:creationId xmlns:a16="http://schemas.microsoft.com/office/drawing/2014/main" id="{7C49FBFF-5727-2652-767E-E7B323C00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491490</xdr:colOff>
      <xdr:row>5</xdr:row>
      <xdr:rowOff>144780</xdr:rowOff>
    </xdr:from>
    <xdr:to>
      <xdr:col>11</xdr:col>
      <xdr:colOff>369570</xdr:colOff>
      <xdr:row>19</xdr:row>
      <xdr:rowOff>114300</xdr:rowOff>
    </xdr:to>
    <xdr:graphicFrame macro="">
      <xdr:nvGraphicFramePr>
        <xdr:cNvPr id="2" name="Chart 1">
          <a:extLst>
            <a:ext uri="{FF2B5EF4-FFF2-40B4-BE49-F238E27FC236}">
              <a16:creationId xmlns:a16="http://schemas.microsoft.com/office/drawing/2014/main" id="{359560E2-CCE4-67A0-7AA7-8CF1565DE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278130</xdr:colOff>
      <xdr:row>3</xdr:row>
      <xdr:rowOff>26670</xdr:rowOff>
    </xdr:from>
    <xdr:to>
      <xdr:col>12</xdr:col>
      <xdr:colOff>156210</xdr:colOff>
      <xdr:row>16</xdr:row>
      <xdr:rowOff>194310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D5C9C0A-BA46-02F8-76A2-90DA8FA154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34150" y="6210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300990</xdr:colOff>
      <xdr:row>5</xdr:row>
      <xdr:rowOff>140970</xdr:rowOff>
    </xdr:from>
    <xdr:to>
      <xdr:col>10</xdr:col>
      <xdr:colOff>179070</xdr:colOff>
      <xdr:row>19</xdr:row>
      <xdr:rowOff>110490</xdr:rowOff>
    </xdr:to>
    <xdr:graphicFrame macro="">
      <xdr:nvGraphicFramePr>
        <xdr:cNvPr id="2" name="Chart 1">
          <a:extLst>
            <a:ext uri="{FF2B5EF4-FFF2-40B4-BE49-F238E27FC236}">
              <a16:creationId xmlns:a16="http://schemas.microsoft.com/office/drawing/2014/main" id="{59626DC5-079B-FEDC-8F47-1B3E110AC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110490</xdr:colOff>
      <xdr:row>5</xdr:row>
      <xdr:rowOff>144780</xdr:rowOff>
    </xdr:from>
    <xdr:to>
      <xdr:col>11</xdr:col>
      <xdr:colOff>659130</xdr:colOff>
      <xdr:row>19</xdr:row>
      <xdr:rowOff>114300</xdr:rowOff>
    </xdr:to>
    <xdr:graphicFrame macro="">
      <xdr:nvGraphicFramePr>
        <xdr:cNvPr id="2" name="Chart 1">
          <a:extLst>
            <a:ext uri="{FF2B5EF4-FFF2-40B4-BE49-F238E27FC236}">
              <a16:creationId xmlns:a16="http://schemas.microsoft.com/office/drawing/2014/main" id="{B0D91647-7611-6CC2-B7F9-E9A94350F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53340</xdr:colOff>
      <xdr:row>6</xdr:row>
      <xdr:rowOff>7620</xdr:rowOff>
    </xdr:from>
    <xdr:to>
      <xdr:col>17</xdr:col>
      <xdr:colOff>541020</xdr:colOff>
      <xdr:row>19</xdr:row>
      <xdr:rowOff>127635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6C565E3-607E-A41F-E8F2-0433EF65571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37620" y="1196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6</xdr:row>
      <xdr:rowOff>7620</xdr:rowOff>
    </xdr:from>
    <xdr:to>
      <xdr:col>15</xdr:col>
      <xdr:colOff>7620</xdr:colOff>
      <xdr:row>19</xdr:row>
      <xdr:rowOff>127635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CE8B91BD-6975-1A69-6402-3D896521076F}"/>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563100" y="1196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331470</xdr:colOff>
      <xdr:row>5</xdr:row>
      <xdr:rowOff>140970</xdr:rowOff>
    </xdr:from>
    <xdr:to>
      <xdr:col>12</xdr:col>
      <xdr:colOff>209550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C184477-4A2A-5ADB-DFD4-749F2477D4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4</xdr:col>
      <xdr:colOff>171450</xdr:colOff>
      <xdr:row>0</xdr:row>
      <xdr:rowOff>114300</xdr:rowOff>
    </xdr:from>
    <xdr:ext cx="10191750" cy="7124700"/>
    <xdr:grpSp>
      <xdr:nvGrpSpPr>
        <xdr:cNvPr id="2" name="Shape 2" title="Drawing">
          <a:extLst>
            <a:ext uri="{FF2B5EF4-FFF2-40B4-BE49-F238E27FC236}">
              <a16:creationId xmlns:a16="http://schemas.microsoft.com/office/drawing/2014/main" id="{E2774454-A89E-44C1-91AC-7079F435D83E}"/>
            </a:ext>
          </a:extLst>
        </xdr:cNvPr>
        <xdr:cNvGrpSpPr/>
      </xdr:nvGrpSpPr>
      <xdr:grpSpPr>
        <a:xfrm>
          <a:off x="2838450" y="114300"/>
          <a:ext cx="10191750" cy="7124700"/>
          <a:chOff x="509146" y="381848"/>
          <a:chExt cx="10183419" cy="7103376"/>
        </a:xfrm>
      </xdr:grpSpPr>
      <xdr:grpSp>
        <xdr:nvGrpSpPr>
          <xdr:cNvPr id="3" name="Shape 54">
            <a:extLst>
              <a:ext uri="{FF2B5EF4-FFF2-40B4-BE49-F238E27FC236}">
                <a16:creationId xmlns:a16="http://schemas.microsoft.com/office/drawing/2014/main" id="{D7CB351C-EEB1-062F-2023-2B98B34F0BA7}"/>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62AD6538-054A-20C8-F206-43B64A7DF86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5">
              <a:extLst>
                <a:ext uri="{FF2B5EF4-FFF2-40B4-BE49-F238E27FC236}">
                  <a16:creationId xmlns:a16="http://schemas.microsoft.com/office/drawing/2014/main" id="{9D9A24C2-9946-4A05-3E64-723993B40D59}"/>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56">
              <a:extLst>
                <a:ext uri="{FF2B5EF4-FFF2-40B4-BE49-F238E27FC236}">
                  <a16:creationId xmlns:a16="http://schemas.microsoft.com/office/drawing/2014/main" id="{6279045D-F7B9-53EA-C11A-EECBAD0882FA}"/>
                </a:ext>
              </a:extLst>
            </xdr:cNvPr>
            <xdr:cNvSpPr/>
          </xdr:nvSpPr>
          <xdr:spPr>
            <a:xfrm>
              <a:off x="1852449" y="270899"/>
              <a:ext cx="7691601" cy="834001"/>
            </a:xfrm>
            <a:prstGeom prst="roundRect">
              <a:avLst>
                <a:gd name="adj" fmla="val 10000"/>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57">
              <a:extLst>
                <a:ext uri="{FF2B5EF4-FFF2-40B4-BE49-F238E27FC236}">
                  <a16:creationId xmlns:a16="http://schemas.microsoft.com/office/drawing/2014/main" id="{C434788B-5338-919B-F797-6BD8EF1CB5DE}"/>
                </a:ext>
              </a:extLst>
            </xdr:cNvPr>
            <xdr:cNvSpPr/>
          </xdr:nvSpPr>
          <xdr:spPr>
            <a:xfrm>
              <a:off x="9658349" y="270899"/>
              <a:ext cx="5467351" cy="834001"/>
            </a:xfrm>
            <a:prstGeom prst="roundRect">
              <a:avLst>
                <a:gd name="adj" fmla="val 10000"/>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58">
              <a:extLst>
                <a:ext uri="{FF2B5EF4-FFF2-40B4-BE49-F238E27FC236}">
                  <a16:creationId xmlns:a16="http://schemas.microsoft.com/office/drawing/2014/main" id="{12746853-B5AE-A1FB-44E6-90EE333EBE7D}"/>
                </a:ext>
              </a:extLst>
            </xdr:cNvPr>
            <xdr:cNvSpPr/>
          </xdr:nvSpPr>
          <xdr:spPr>
            <a:xfrm>
              <a:off x="5819774" y="2304895"/>
              <a:ext cx="4819651"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59">
              <a:extLst>
                <a:ext uri="{FF2B5EF4-FFF2-40B4-BE49-F238E27FC236}">
                  <a16:creationId xmlns:a16="http://schemas.microsoft.com/office/drawing/2014/main" id="{CC3EF406-C965-17AA-A861-53A95B4D77B4}"/>
                </a:ext>
              </a:extLst>
            </xdr:cNvPr>
            <xdr:cNvGrpSpPr/>
          </xdr:nvGrpSpPr>
          <xdr:grpSpPr>
            <a:xfrm>
              <a:off x="1846116" y="1215714"/>
              <a:ext cx="13289109" cy="998848"/>
              <a:chOff x="1846116" y="1215714"/>
              <a:chExt cx="13403409" cy="998848"/>
            </a:xfrm>
          </xdr:grpSpPr>
          <xdr:sp macro="" textlink="">
            <xdr:nvSpPr>
              <xdr:cNvPr id="24" name="Shape 60">
                <a:extLst>
                  <a:ext uri="{FF2B5EF4-FFF2-40B4-BE49-F238E27FC236}">
                    <a16:creationId xmlns:a16="http://schemas.microsoft.com/office/drawing/2014/main" id="{7F19F41D-1004-9F88-952A-0F328B18FC02}"/>
                  </a:ext>
                </a:extLst>
              </xdr:cNvPr>
              <xdr:cNvSpPr/>
            </xdr:nvSpPr>
            <xdr:spPr>
              <a:xfrm>
                <a:off x="1846116"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61">
                <a:extLst>
                  <a:ext uri="{FF2B5EF4-FFF2-40B4-BE49-F238E27FC236}">
                    <a16:creationId xmlns:a16="http://schemas.microsoft.com/office/drawing/2014/main" id="{70EB6244-430C-0925-0EAF-4959D2F5203E}"/>
                  </a:ext>
                </a:extLst>
              </xdr:cNvPr>
              <xdr:cNvSpPr/>
            </xdr:nvSpPr>
            <xdr:spPr>
              <a:xfrm>
                <a:off x="4546454"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62">
                <a:extLst>
                  <a:ext uri="{FF2B5EF4-FFF2-40B4-BE49-F238E27FC236}">
                    <a16:creationId xmlns:a16="http://schemas.microsoft.com/office/drawing/2014/main" id="{F2FAD7B2-E56F-369C-FBEE-155B46C50EA0}"/>
                  </a:ext>
                </a:extLst>
              </xdr:cNvPr>
              <xdr:cNvSpPr/>
            </xdr:nvSpPr>
            <xdr:spPr>
              <a:xfrm>
                <a:off x="7246792"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63">
                <a:extLst>
                  <a:ext uri="{FF2B5EF4-FFF2-40B4-BE49-F238E27FC236}">
                    <a16:creationId xmlns:a16="http://schemas.microsoft.com/office/drawing/2014/main" id="{22354F36-76E2-F2F2-D00D-C604E19A1E88}"/>
                  </a:ext>
                </a:extLst>
              </xdr:cNvPr>
              <xdr:cNvSpPr/>
            </xdr:nvSpPr>
            <xdr:spPr>
              <a:xfrm>
                <a:off x="9947130"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64">
                <a:extLst>
                  <a:ext uri="{FF2B5EF4-FFF2-40B4-BE49-F238E27FC236}">
                    <a16:creationId xmlns:a16="http://schemas.microsoft.com/office/drawing/2014/main" id="{0C6CB6C4-C9FF-21A0-CFD5-DBA91355925E}"/>
                  </a:ext>
                </a:extLst>
              </xdr:cNvPr>
              <xdr:cNvSpPr/>
            </xdr:nvSpPr>
            <xdr:spPr>
              <a:xfrm>
                <a:off x="12647467"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65">
              <a:extLst>
                <a:ext uri="{FF2B5EF4-FFF2-40B4-BE49-F238E27FC236}">
                  <a16:creationId xmlns:a16="http://schemas.microsoft.com/office/drawing/2014/main" id="{68BD0D16-A5DE-61DE-60B7-91F89A697C07}"/>
                </a:ext>
              </a:extLst>
            </xdr:cNvPr>
            <xdr:cNvGrpSpPr/>
          </xdr:nvGrpSpPr>
          <xdr:grpSpPr>
            <a:xfrm>
              <a:off x="1847145" y="5162550"/>
              <a:ext cx="3867930" cy="2709509"/>
              <a:chOff x="1847145" y="2304895"/>
              <a:chExt cx="3867930" cy="2772878"/>
            </a:xfrm>
          </xdr:grpSpPr>
          <xdr:sp macro="" textlink="">
            <xdr:nvSpPr>
              <xdr:cNvPr id="22" name="Shape 66">
                <a:extLst>
                  <a:ext uri="{FF2B5EF4-FFF2-40B4-BE49-F238E27FC236}">
                    <a16:creationId xmlns:a16="http://schemas.microsoft.com/office/drawing/2014/main" id="{B6EF38DF-4F50-8C53-386E-EE5898EB41F7}"/>
                  </a:ext>
                </a:extLst>
              </xdr:cNvPr>
              <xdr:cNvSpPr/>
            </xdr:nvSpPr>
            <xdr:spPr>
              <a:xfrm>
                <a:off x="1847145" y="2304895"/>
                <a:ext cx="3867930"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67">
                <a:extLst>
                  <a:ext uri="{FF2B5EF4-FFF2-40B4-BE49-F238E27FC236}">
                    <a16:creationId xmlns:a16="http://schemas.microsoft.com/office/drawing/2014/main" id="{A366D3D5-7687-D67A-F51A-2E0F93D6D5EA}"/>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a:extLst>
                <a:ext uri="{FF2B5EF4-FFF2-40B4-BE49-F238E27FC236}">
                  <a16:creationId xmlns:a16="http://schemas.microsoft.com/office/drawing/2014/main" id="{D66FCF74-DB1E-6945-8B9E-D737B78DA4C5}"/>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a:extLst>
                <a:ext uri="{FF2B5EF4-FFF2-40B4-BE49-F238E27FC236}">
                  <a16:creationId xmlns:a16="http://schemas.microsoft.com/office/drawing/2014/main" id="{8A619FC8-5128-81A5-7808-69005BE208E9}"/>
                </a:ext>
              </a:extLst>
            </xdr:cNvPr>
            <xdr:cNvSpPr/>
          </xdr:nvSpPr>
          <xdr:spPr>
            <a:xfrm>
              <a:off x="10744199" y="2304895"/>
              <a:ext cx="4381501"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70">
              <a:extLst>
                <a:ext uri="{FF2B5EF4-FFF2-40B4-BE49-F238E27FC236}">
                  <a16:creationId xmlns:a16="http://schemas.microsoft.com/office/drawing/2014/main" id="{95161FD4-2C97-08DC-691A-E7D8075214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a:extLst>
                <a:ext uri="{FF2B5EF4-FFF2-40B4-BE49-F238E27FC236}">
                  <a16:creationId xmlns:a16="http://schemas.microsoft.com/office/drawing/2014/main" id="{918F0AC1-22FC-4570-58ED-20663FCBE74B}"/>
                </a:ext>
              </a:extLst>
            </xdr:cNvPr>
            <xdr:cNvSpPr/>
          </xdr:nvSpPr>
          <xdr:spPr>
            <a:xfrm>
              <a:off x="1847145" y="2324970"/>
              <a:ext cx="3867930" cy="275466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72">
              <a:extLst>
                <a:ext uri="{FF2B5EF4-FFF2-40B4-BE49-F238E27FC236}">
                  <a16:creationId xmlns:a16="http://schemas.microsoft.com/office/drawing/2014/main" id="{11C18B79-6A26-D310-FB11-98B74EF524F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a:extLst>
                <a:ext uri="{FF2B5EF4-FFF2-40B4-BE49-F238E27FC236}">
                  <a16:creationId xmlns:a16="http://schemas.microsoft.com/office/drawing/2014/main" id="{13D54879-9C80-C2F6-5839-268F0D9AC8FB}"/>
                </a:ext>
              </a:extLst>
            </xdr:cNvPr>
            <xdr:cNvSpPr/>
          </xdr:nvSpPr>
          <xdr:spPr>
            <a:xfrm>
              <a:off x="5809545" y="5162550"/>
              <a:ext cx="3564000" cy="2709509"/>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74">
              <a:extLst>
                <a:ext uri="{FF2B5EF4-FFF2-40B4-BE49-F238E27FC236}">
                  <a16:creationId xmlns:a16="http://schemas.microsoft.com/office/drawing/2014/main" id="{B92D88FF-3626-56D3-E562-7C9A07F0F18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a:extLst>
                <a:ext uri="{FF2B5EF4-FFF2-40B4-BE49-F238E27FC236}">
                  <a16:creationId xmlns:a16="http://schemas.microsoft.com/office/drawing/2014/main" id="{B38312AD-376E-2967-43F5-8B78FA90920F}"/>
                </a:ext>
              </a:extLst>
            </xdr:cNvPr>
            <xdr:cNvSpPr/>
          </xdr:nvSpPr>
          <xdr:spPr>
            <a:xfrm>
              <a:off x="9467145" y="5162550"/>
              <a:ext cx="2844000" cy="2700000"/>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76">
              <a:extLst>
                <a:ext uri="{FF2B5EF4-FFF2-40B4-BE49-F238E27FC236}">
                  <a16:creationId xmlns:a16="http://schemas.microsoft.com/office/drawing/2014/main" id="{ADAB9370-432D-EF0B-DD92-BF905E1580F1}"/>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a:extLst>
                <a:ext uri="{FF2B5EF4-FFF2-40B4-BE49-F238E27FC236}">
                  <a16:creationId xmlns:a16="http://schemas.microsoft.com/office/drawing/2014/main" id="{5E28AFBC-0A82-CA48-B8F8-F0AAA5668D7B}"/>
                </a:ext>
              </a:extLst>
            </xdr:cNvPr>
            <xdr:cNvSpPr/>
          </xdr:nvSpPr>
          <xdr:spPr>
            <a:xfrm>
              <a:off x="12419895" y="5162550"/>
              <a:ext cx="2700000" cy="2700000"/>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78">
              <a:extLst>
                <a:ext uri="{FF2B5EF4-FFF2-40B4-BE49-F238E27FC236}">
                  <a16:creationId xmlns:a16="http://schemas.microsoft.com/office/drawing/2014/main" id="{5CB73F40-EB65-BF8C-423A-ED5C6C14AF97}"/>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4</xdr:col>
      <xdr:colOff>104774</xdr:colOff>
      <xdr:row>5</xdr:row>
      <xdr:rowOff>64586</xdr:rowOff>
    </xdr:from>
    <xdr:ext cx="1790701" cy="421190"/>
    <xdr:sp macro="" textlink="">
      <xdr:nvSpPr>
        <xdr:cNvPr id="29" name="Rectangle 28">
          <a:extLst>
            <a:ext uri="{FF2B5EF4-FFF2-40B4-BE49-F238E27FC236}">
              <a16:creationId xmlns:a16="http://schemas.microsoft.com/office/drawing/2014/main" id="{F42D8A0D-9869-81A6-8EBC-D9C33576A2E2}"/>
            </a:ext>
          </a:extLst>
        </xdr:cNvPr>
        <xdr:cNvSpPr/>
      </xdr:nvSpPr>
      <xdr:spPr>
        <a:xfrm>
          <a:off x="2771774" y="1064711"/>
          <a:ext cx="1790701" cy="421190"/>
        </a:xfrm>
        <a:prstGeom prst="rect">
          <a:avLst/>
        </a:prstGeom>
        <a:noFill/>
        <a:ln>
          <a:noFill/>
        </a:ln>
      </xdr:spPr>
      <xdr:txBody>
        <a:bodyPr wrap="square" lIns="91440" tIns="45720" rIns="91440" bIns="45720">
          <a:noAutofit/>
        </a:bodyPr>
        <a:lstStyle/>
        <a:p>
          <a:pPr algn="ctr"/>
          <a:r>
            <a:rPr lang="en-US" sz="1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Lato Black" panose="020F0502020204030203" pitchFamily="34" charset="0"/>
              <a:cs typeface="Lato Black" panose="020F0502020204030203" pitchFamily="34" charset="0"/>
            </a:rPr>
            <a:t>Total</a:t>
          </a:r>
          <a:r>
            <a:rPr lang="en-US" sz="1200" b="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Lato Black" panose="020F0502020204030203" pitchFamily="34" charset="0"/>
              <a:cs typeface="Lato Black" panose="020F0502020204030203" pitchFamily="34" charset="0"/>
            </a:rPr>
            <a:t> Employees</a:t>
          </a:r>
          <a:endParaRPr lang="en-US" sz="1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Lato Black" panose="020F0502020204030203" pitchFamily="34" charset="0"/>
            <a:cs typeface="Lato Black" panose="020F0502020204030203" pitchFamily="34" charset="0"/>
          </a:endParaRPr>
        </a:p>
      </xdr:txBody>
    </xdr:sp>
    <xdr:clientData/>
  </xdr:oneCellAnchor>
  <xdr:oneCellAnchor>
    <xdr:from>
      <xdr:col>10</xdr:col>
      <xdr:colOff>110268</xdr:colOff>
      <xdr:row>13</xdr:row>
      <xdr:rowOff>83636</xdr:rowOff>
    </xdr:from>
    <xdr:ext cx="5052282" cy="859339"/>
    <xdr:sp macro="" textlink="">
      <xdr:nvSpPr>
        <xdr:cNvPr id="30" name="Rectangle 29">
          <a:extLst>
            <a:ext uri="{FF2B5EF4-FFF2-40B4-BE49-F238E27FC236}">
              <a16:creationId xmlns:a16="http://schemas.microsoft.com/office/drawing/2014/main" id="{CEFD6414-4F14-A662-4B66-477399B64480}"/>
            </a:ext>
          </a:extLst>
        </xdr:cNvPr>
        <xdr:cNvSpPr/>
      </xdr:nvSpPr>
      <xdr:spPr>
        <a:xfrm>
          <a:off x="6777768" y="2683961"/>
          <a:ext cx="5052282" cy="85933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4</xdr:col>
      <xdr:colOff>304800</xdr:colOff>
      <xdr:row>7</xdr:row>
      <xdr:rowOff>0</xdr:rowOff>
    </xdr:from>
    <xdr:to>
      <xdr:col>6</xdr:col>
      <xdr:colOff>533400</xdr:colOff>
      <xdr:row>9</xdr:row>
      <xdr:rowOff>28575</xdr:rowOff>
    </xdr:to>
    <xdr:sp macro="" textlink="KPI!A7">
      <xdr:nvSpPr>
        <xdr:cNvPr id="31" name="TextBox 30">
          <a:extLst>
            <a:ext uri="{FF2B5EF4-FFF2-40B4-BE49-F238E27FC236}">
              <a16:creationId xmlns:a16="http://schemas.microsoft.com/office/drawing/2014/main" id="{0B5B4262-7D4F-4866-3928-A3CF13D7A80D}"/>
            </a:ext>
          </a:extLst>
        </xdr:cNvPr>
        <xdr:cNvSpPr txBox="1"/>
      </xdr:nvSpPr>
      <xdr:spPr>
        <a:xfrm>
          <a:off x="2971800" y="1400175"/>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DA35E6-4455-4A8A-9A5B-13651D4D69A1}" type="TxLink">
            <a:rPr lang="en-US" sz="2400" b="0" i="0" u="none" strike="noStrike">
              <a:solidFill>
                <a:srgbClr val="002060"/>
              </a:solidFill>
              <a:latin typeface="Arial Black" panose="020B0A04020102020204" pitchFamily="34" charset="0"/>
              <a:ea typeface="Calibri"/>
              <a:cs typeface="Calibri"/>
            </a:rPr>
            <a:pPr algn="ctr"/>
            <a:t>1470</a:t>
          </a:fld>
          <a:endParaRPr lang="en-US" sz="2400">
            <a:solidFill>
              <a:srgbClr val="002060"/>
            </a:solidFill>
            <a:latin typeface="Arial Black" panose="020B0A04020102020204" pitchFamily="34" charset="0"/>
          </a:endParaRPr>
        </a:p>
      </xdr:txBody>
    </xdr:sp>
    <xdr:clientData/>
  </xdr:twoCellAnchor>
  <xdr:twoCellAnchor>
    <xdr:from>
      <xdr:col>7</xdr:col>
      <xdr:colOff>381000</xdr:colOff>
      <xdr:row>5</xdr:row>
      <xdr:rowOff>57150</xdr:rowOff>
    </xdr:from>
    <xdr:to>
      <xdr:col>9</xdr:col>
      <xdr:colOff>581025</xdr:colOff>
      <xdr:row>7</xdr:row>
      <xdr:rowOff>104775</xdr:rowOff>
    </xdr:to>
    <xdr:sp macro="" textlink="">
      <xdr:nvSpPr>
        <xdr:cNvPr id="59" name="TextBox 58">
          <a:extLst>
            <a:ext uri="{FF2B5EF4-FFF2-40B4-BE49-F238E27FC236}">
              <a16:creationId xmlns:a16="http://schemas.microsoft.com/office/drawing/2014/main" id="{0F11FFD4-E8DF-4067-F402-17A8A1276D61}"/>
            </a:ext>
          </a:extLst>
        </xdr:cNvPr>
        <xdr:cNvSpPr txBox="1"/>
      </xdr:nvSpPr>
      <xdr:spPr>
        <a:xfrm>
          <a:off x="5048250" y="1057275"/>
          <a:ext cx="15335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Attrition</a:t>
          </a:r>
        </a:p>
      </xdr:txBody>
    </xdr:sp>
    <xdr:clientData/>
  </xdr:twoCellAnchor>
  <xdr:twoCellAnchor>
    <xdr:from>
      <xdr:col>7</xdr:col>
      <xdr:colOff>552450</xdr:colOff>
      <xdr:row>7</xdr:row>
      <xdr:rowOff>0</xdr:rowOff>
    </xdr:from>
    <xdr:to>
      <xdr:col>9</xdr:col>
      <xdr:colOff>438150</xdr:colOff>
      <xdr:row>9</xdr:row>
      <xdr:rowOff>28575</xdr:rowOff>
    </xdr:to>
    <xdr:sp macro="" textlink="KPI!B7">
      <xdr:nvSpPr>
        <xdr:cNvPr id="60" name="TextBox 59">
          <a:extLst>
            <a:ext uri="{FF2B5EF4-FFF2-40B4-BE49-F238E27FC236}">
              <a16:creationId xmlns:a16="http://schemas.microsoft.com/office/drawing/2014/main" id="{AA0CD606-E36A-4B94-9C6E-74D51629A669}"/>
            </a:ext>
          </a:extLst>
        </xdr:cNvPr>
        <xdr:cNvSpPr txBox="1"/>
      </xdr:nvSpPr>
      <xdr:spPr>
        <a:xfrm>
          <a:off x="5219700" y="1400175"/>
          <a:ext cx="12192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6740BA-63BA-4C97-8A58-E90E905CDCD9}" type="TxLink">
            <a:rPr lang="en-US" sz="2400" b="0" i="0" u="none" strike="noStrike">
              <a:solidFill>
                <a:srgbClr val="000000"/>
              </a:solidFill>
              <a:latin typeface="Arial Black" panose="020B0A04020102020204" pitchFamily="34" charset="0"/>
              <a:ea typeface="Calibri"/>
              <a:cs typeface="Calibri"/>
            </a:rPr>
            <a:pPr algn="ctr"/>
            <a:t>237</a:t>
          </a:fld>
          <a:endParaRPr lang="en-US" sz="2400">
            <a:solidFill>
              <a:srgbClr val="002060"/>
            </a:solidFill>
            <a:latin typeface="Arial Black" panose="020B0A04020102020204" pitchFamily="34" charset="0"/>
          </a:endParaRPr>
        </a:p>
      </xdr:txBody>
    </xdr:sp>
    <xdr:clientData/>
  </xdr:twoCellAnchor>
  <xdr:twoCellAnchor>
    <xdr:from>
      <xdr:col>10</xdr:col>
      <xdr:colOff>419100</xdr:colOff>
      <xdr:row>6</xdr:row>
      <xdr:rowOff>190500</xdr:rowOff>
    </xdr:from>
    <xdr:to>
      <xdr:col>12</xdr:col>
      <xdr:colOff>647700</xdr:colOff>
      <xdr:row>9</xdr:row>
      <xdr:rowOff>19050</xdr:rowOff>
    </xdr:to>
    <xdr:sp macro="" textlink="KPI!D7">
      <xdr:nvSpPr>
        <xdr:cNvPr id="61" name="TextBox 60">
          <a:extLst>
            <a:ext uri="{FF2B5EF4-FFF2-40B4-BE49-F238E27FC236}">
              <a16:creationId xmlns:a16="http://schemas.microsoft.com/office/drawing/2014/main" id="{0769CBFE-B8AA-4568-B0DB-B35C39B8A3BB}"/>
            </a:ext>
          </a:extLst>
        </xdr:cNvPr>
        <xdr:cNvSpPr txBox="1"/>
      </xdr:nvSpPr>
      <xdr:spPr>
        <a:xfrm>
          <a:off x="7086600" y="1390650"/>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CE2924-36EB-44C5-A800-84BD9FEECDEC}" type="TxLink">
            <a:rPr lang="en-US" sz="2400" b="0" i="0" u="none" strike="noStrike">
              <a:solidFill>
                <a:srgbClr val="000000"/>
              </a:solidFill>
              <a:latin typeface="Arial Black" panose="020B0A04020102020204" pitchFamily="34" charset="0"/>
              <a:ea typeface="Calibri"/>
              <a:cs typeface="Calibri"/>
            </a:rPr>
            <a:pPr algn="ctr"/>
            <a:t>1233</a:t>
          </a:fld>
          <a:endParaRPr lang="en-US" sz="2400">
            <a:solidFill>
              <a:srgbClr val="002060"/>
            </a:solidFill>
            <a:latin typeface="Arial Black" panose="020B0A04020102020204" pitchFamily="34" charset="0"/>
          </a:endParaRPr>
        </a:p>
      </xdr:txBody>
    </xdr:sp>
    <xdr:clientData/>
  </xdr:twoCellAnchor>
  <xdr:twoCellAnchor>
    <xdr:from>
      <xdr:col>10</xdr:col>
      <xdr:colOff>200024</xdr:colOff>
      <xdr:row>5</xdr:row>
      <xdr:rowOff>95250</xdr:rowOff>
    </xdr:from>
    <xdr:to>
      <xdr:col>12</xdr:col>
      <xdr:colOff>600075</xdr:colOff>
      <xdr:row>7</xdr:row>
      <xdr:rowOff>142875</xdr:rowOff>
    </xdr:to>
    <xdr:sp macro="" textlink="">
      <xdr:nvSpPr>
        <xdr:cNvPr id="63" name="TextBox 62">
          <a:extLst>
            <a:ext uri="{FF2B5EF4-FFF2-40B4-BE49-F238E27FC236}">
              <a16:creationId xmlns:a16="http://schemas.microsoft.com/office/drawing/2014/main" id="{ED2D9C8E-6416-C951-2389-41A3D38D8415}"/>
            </a:ext>
          </a:extLst>
        </xdr:cNvPr>
        <xdr:cNvSpPr txBox="1"/>
      </xdr:nvSpPr>
      <xdr:spPr>
        <a:xfrm>
          <a:off x="6867524" y="1095375"/>
          <a:ext cx="173355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Active Employees</a:t>
          </a:r>
        </a:p>
      </xdr:txBody>
    </xdr:sp>
    <xdr:clientData/>
  </xdr:twoCellAnchor>
  <xdr:twoCellAnchor>
    <xdr:from>
      <xdr:col>13</xdr:col>
      <xdr:colOff>295276</xdr:colOff>
      <xdr:row>5</xdr:row>
      <xdr:rowOff>57151</xdr:rowOff>
    </xdr:from>
    <xdr:to>
      <xdr:col>15</xdr:col>
      <xdr:colOff>657226</xdr:colOff>
      <xdr:row>7</xdr:row>
      <xdr:rowOff>104775</xdr:rowOff>
    </xdr:to>
    <xdr:sp macro="" textlink="">
      <xdr:nvSpPr>
        <xdr:cNvPr id="64" name="TextBox 63">
          <a:extLst>
            <a:ext uri="{FF2B5EF4-FFF2-40B4-BE49-F238E27FC236}">
              <a16:creationId xmlns:a16="http://schemas.microsoft.com/office/drawing/2014/main" id="{23CA7A8F-C11C-4038-4F9D-B6E5DA6BA5D7}"/>
            </a:ext>
          </a:extLst>
        </xdr:cNvPr>
        <xdr:cNvSpPr txBox="1"/>
      </xdr:nvSpPr>
      <xdr:spPr>
        <a:xfrm>
          <a:off x="8963026" y="1057276"/>
          <a:ext cx="1695450" cy="44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Attrition Rate</a:t>
          </a:r>
        </a:p>
      </xdr:txBody>
    </xdr:sp>
    <xdr:clientData/>
  </xdr:twoCellAnchor>
  <xdr:twoCellAnchor>
    <xdr:from>
      <xdr:col>13</xdr:col>
      <xdr:colOff>485775</xdr:colOff>
      <xdr:row>6</xdr:row>
      <xdr:rowOff>190500</xdr:rowOff>
    </xdr:from>
    <xdr:to>
      <xdr:col>16</xdr:col>
      <xdr:colOff>47625</xdr:colOff>
      <xdr:row>9</xdr:row>
      <xdr:rowOff>19050</xdr:rowOff>
    </xdr:to>
    <xdr:sp macro="" textlink="KPI!E7">
      <xdr:nvSpPr>
        <xdr:cNvPr id="65" name="TextBox 64">
          <a:extLst>
            <a:ext uri="{FF2B5EF4-FFF2-40B4-BE49-F238E27FC236}">
              <a16:creationId xmlns:a16="http://schemas.microsoft.com/office/drawing/2014/main" id="{98B36AA3-C24B-4315-9FCF-941602A88A80}"/>
            </a:ext>
          </a:extLst>
        </xdr:cNvPr>
        <xdr:cNvSpPr txBox="1"/>
      </xdr:nvSpPr>
      <xdr:spPr>
        <a:xfrm>
          <a:off x="9153525" y="1390650"/>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EF48C-FB5D-4A96-AEB7-FB17E13B06F5}" type="TxLink">
            <a:rPr lang="en-US" sz="2400" b="0" i="0" u="none" strike="noStrike">
              <a:solidFill>
                <a:srgbClr val="000000"/>
              </a:solidFill>
              <a:latin typeface="Arial Black" panose="020B0A04020102020204" pitchFamily="34" charset="0"/>
              <a:ea typeface="Calibri"/>
              <a:cs typeface="Calibri"/>
            </a:rPr>
            <a:pPr algn="ctr"/>
            <a:t>16.12%</a:t>
          </a:fld>
          <a:endParaRPr lang="en-US" sz="2400">
            <a:solidFill>
              <a:srgbClr val="002060"/>
            </a:solidFill>
            <a:latin typeface="Arial Black" panose="020B0A04020102020204" pitchFamily="34" charset="0"/>
          </a:endParaRPr>
        </a:p>
      </xdr:txBody>
    </xdr:sp>
    <xdr:clientData/>
  </xdr:twoCellAnchor>
  <xdr:twoCellAnchor>
    <xdr:from>
      <xdr:col>16</xdr:col>
      <xdr:colOff>219075</xdr:colOff>
      <xdr:row>5</xdr:row>
      <xdr:rowOff>57150</xdr:rowOff>
    </xdr:from>
    <xdr:to>
      <xdr:col>18</xdr:col>
      <xdr:colOff>619125</xdr:colOff>
      <xdr:row>7</xdr:row>
      <xdr:rowOff>104775</xdr:rowOff>
    </xdr:to>
    <xdr:sp macro="" textlink="">
      <xdr:nvSpPr>
        <xdr:cNvPr id="66" name="TextBox 65">
          <a:extLst>
            <a:ext uri="{FF2B5EF4-FFF2-40B4-BE49-F238E27FC236}">
              <a16:creationId xmlns:a16="http://schemas.microsoft.com/office/drawing/2014/main" id="{C20E34B7-93C2-91FF-D24D-751ECC05958A}"/>
            </a:ext>
          </a:extLst>
        </xdr:cNvPr>
        <xdr:cNvSpPr txBox="1"/>
      </xdr:nvSpPr>
      <xdr:spPr>
        <a:xfrm>
          <a:off x="10887075" y="1057275"/>
          <a:ext cx="17335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Average Age</a:t>
          </a:r>
        </a:p>
      </xdr:txBody>
    </xdr:sp>
    <xdr:clientData/>
  </xdr:twoCellAnchor>
  <xdr:twoCellAnchor>
    <xdr:from>
      <xdr:col>16</xdr:col>
      <xdr:colOff>419100</xdr:colOff>
      <xdr:row>7</xdr:row>
      <xdr:rowOff>28575</xdr:rowOff>
    </xdr:from>
    <xdr:to>
      <xdr:col>18</xdr:col>
      <xdr:colOff>647700</xdr:colOff>
      <xdr:row>9</xdr:row>
      <xdr:rowOff>57150</xdr:rowOff>
    </xdr:to>
    <xdr:sp macro="" textlink="KPI!C7">
      <xdr:nvSpPr>
        <xdr:cNvPr id="67" name="TextBox 66">
          <a:extLst>
            <a:ext uri="{FF2B5EF4-FFF2-40B4-BE49-F238E27FC236}">
              <a16:creationId xmlns:a16="http://schemas.microsoft.com/office/drawing/2014/main" id="{FEC680F1-43D2-43A2-9E22-1B4FEE4BEBAC}"/>
            </a:ext>
          </a:extLst>
        </xdr:cNvPr>
        <xdr:cNvSpPr txBox="1"/>
      </xdr:nvSpPr>
      <xdr:spPr>
        <a:xfrm>
          <a:off x="11087100" y="1428750"/>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DC58F0-266E-410D-AF60-2A50FBAEE6A3}" type="TxLink">
            <a:rPr lang="en-US" sz="2400" b="0" i="0" u="none" strike="noStrike">
              <a:solidFill>
                <a:srgbClr val="000000"/>
              </a:solidFill>
              <a:latin typeface="Arial Black" panose="020B0A04020102020204" pitchFamily="34" charset="0"/>
              <a:ea typeface="Calibri"/>
              <a:cs typeface="Calibri"/>
            </a:rPr>
            <a:pPr algn="ctr"/>
            <a:t>37</a:t>
          </a:fld>
          <a:endParaRPr lang="en-US" sz="2400">
            <a:solidFill>
              <a:srgbClr val="002060"/>
            </a:solidFill>
            <a:latin typeface="Arial Black" panose="020B0A04020102020204" pitchFamily="34" charset="0"/>
          </a:endParaRPr>
        </a:p>
      </xdr:txBody>
    </xdr:sp>
    <xdr:clientData/>
  </xdr:twoCellAnchor>
  <xdr:oneCellAnchor>
    <xdr:from>
      <xdr:col>6</xdr:col>
      <xdr:colOff>447675</xdr:colOff>
      <xdr:row>5</xdr:row>
      <xdr:rowOff>123825</xdr:rowOff>
    </xdr:from>
    <xdr:ext cx="333375" cy="314325"/>
    <xdr:pic>
      <xdr:nvPicPr>
        <xdr:cNvPr id="68" name="image4.png">
          <a:extLst>
            <a:ext uri="{FF2B5EF4-FFF2-40B4-BE49-F238E27FC236}">
              <a16:creationId xmlns:a16="http://schemas.microsoft.com/office/drawing/2014/main" id="{F1636EFE-4DC1-4E92-84B6-855319CA1CFE}"/>
            </a:ext>
          </a:extLst>
        </xdr:cNvPr>
        <xdr:cNvPicPr preferRelativeResize="0"/>
      </xdr:nvPicPr>
      <xdr:blipFill>
        <a:blip xmlns:r="http://schemas.openxmlformats.org/officeDocument/2006/relationships" r:embed="rId1" cstate="print"/>
        <a:stretch>
          <a:fillRect/>
        </a:stretch>
      </xdr:blipFill>
      <xdr:spPr>
        <a:xfrm>
          <a:off x="4448175" y="1123950"/>
          <a:ext cx="333375" cy="314325"/>
        </a:xfrm>
        <a:prstGeom prst="rect">
          <a:avLst/>
        </a:prstGeom>
        <a:noFill/>
      </xdr:spPr>
    </xdr:pic>
    <xdr:clientData fLocksWithSheet="0"/>
  </xdr:oneCellAnchor>
  <xdr:oneCellAnchor>
    <xdr:from>
      <xdr:col>12</xdr:col>
      <xdr:colOff>504825</xdr:colOff>
      <xdr:row>5</xdr:row>
      <xdr:rowOff>152400</xdr:rowOff>
    </xdr:from>
    <xdr:ext cx="361950" cy="266700"/>
    <xdr:pic>
      <xdr:nvPicPr>
        <xdr:cNvPr id="69" name="image5.png">
          <a:extLst>
            <a:ext uri="{FF2B5EF4-FFF2-40B4-BE49-F238E27FC236}">
              <a16:creationId xmlns:a16="http://schemas.microsoft.com/office/drawing/2014/main" id="{277A54B9-E9A7-46B0-8C3D-5E95B33433BE}"/>
            </a:ext>
          </a:extLst>
        </xdr:cNvPr>
        <xdr:cNvPicPr preferRelativeResize="0"/>
      </xdr:nvPicPr>
      <xdr:blipFill>
        <a:blip xmlns:r="http://schemas.openxmlformats.org/officeDocument/2006/relationships" r:embed="rId2" cstate="print"/>
        <a:stretch>
          <a:fillRect/>
        </a:stretch>
      </xdr:blipFill>
      <xdr:spPr>
        <a:xfrm>
          <a:off x="8505825" y="1152525"/>
          <a:ext cx="361950" cy="266700"/>
        </a:xfrm>
        <a:prstGeom prst="rect">
          <a:avLst/>
        </a:prstGeom>
        <a:noFill/>
      </xdr:spPr>
    </xdr:pic>
    <xdr:clientData fLocksWithSheet="0"/>
  </xdr:oneCellAnchor>
  <xdr:oneCellAnchor>
    <xdr:from>
      <xdr:col>15</xdr:col>
      <xdr:colOff>533400</xdr:colOff>
      <xdr:row>5</xdr:row>
      <xdr:rowOff>123825</xdr:rowOff>
    </xdr:from>
    <xdr:ext cx="352425" cy="295275"/>
    <xdr:pic>
      <xdr:nvPicPr>
        <xdr:cNvPr id="70" name="image2.png">
          <a:extLst>
            <a:ext uri="{FF2B5EF4-FFF2-40B4-BE49-F238E27FC236}">
              <a16:creationId xmlns:a16="http://schemas.microsoft.com/office/drawing/2014/main" id="{82792096-3141-4A03-9CB0-921CE2E69F25}"/>
            </a:ext>
          </a:extLst>
        </xdr:cNvPr>
        <xdr:cNvPicPr preferRelativeResize="0"/>
      </xdr:nvPicPr>
      <xdr:blipFill>
        <a:blip xmlns:r="http://schemas.openxmlformats.org/officeDocument/2006/relationships" r:embed="rId3" cstate="print"/>
        <a:stretch>
          <a:fillRect/>
        </a:stretch>
      </xdr:blipFill>
      <xdr:spPr>
        <a:xfrm>
          <a:off x="10534650" y="1123950"/>
          <a:ext cx="352425" cy="295275"/>
        </a:xfrm>
        <a:prstGeom prst="rect">
          <a:avLst/>
        </a:prstGeom>
        <a:noFill/>
      </xdr:spPr>
    </xdr:pic>
    <xdr:clientData fLocksWithSheet="0"/>
  </xdr:oneCellAnchor>
  <xdr:oneCellAnchor>
    <xdr:from>
      <xdr:col>18</xdr:col>
      <xdr:colOff>552450</xdr:colOff>
      <xdr:row>5</xdr:row>
      <xdr:rowOff>123825</xdr:rowOff>
    </xdr:from>
    <xdr:ext cx="295275" cy="266700"/>
    <xdr:pic>
      <xdr:nvPicPr>
        <xdr:cNvPr id="71" name="image6.png">
          <a:extLst>
            <a:ext uri="{FF2B5EF4-FFF2-40B4-BE49-F238E27FC236}">
              <a16:creationId xmlns:a16="http://schemas.microsoft.com/office/drawing/2014/main" id="{DEFD34D3-67CB-4CDD-B1CB-F908B445135D}"/>
            </a:ext>
          </a:extLst>
        </xdr:cNvPr>
        <xdr:cNvPicPr preferRelativeResize="0"/>
      </xdr:nvPicPr>
      <xdr:blipFill>
        <a:blip xmlns:r="http://schemas.openxmlformats.org/officeDocument/2006/relationships" r:embed="rId4" cstate="print"/>
        <a:stretch>
          <a:fillRect/>
        </a:stretch>
      </xdr:blipFill>
      <xdr:spPr>
        <a:xfrm>
          <a:off x="12553950" y="1123950"/>
          <a:ext cx="295275" cy="266700"/>
        </a:xfrm>
        <a:prstGeom prst="rect">
          <a:avLst/>
        </a:prstGeom>
        <a:noFill/>
      </xdr:spPr>
    </xdr:pic>
    <xdr:clientData fLocksWithSheet="0"/>
  </xdr:oneCellAnchor>
  <xdr:oneCellAnchor>
    <xdr:from>
      <xdr:col>9</xdr:col>
      <xdr:colOff>342901</xdr:colOff>
      <xdr:row>5</xdr:row>
      <xdr:rowOff>104775</xdr:rowOff>
    </xdr:from>
    <xdr:ext cx="476250" cy="352425"/>
    <xdr:pic>
      <xdr:nvPicPr>
        <xdr:cNvPr id="72" name="image7.png">
          <a:extLst>
            <a:ext uri="{FF2B5EF4-FFF2-40B4-BE49-F238E27FC236}">
              <a16:creationId xmlns:a16="http://schemas.microsoft.com/office/drawing/2014/main" id="{072960DD-3566-41E4-8107-4F311EDB768C}"/>
            </a:ext>
          </a:extLst>
        </xdr:cNvPr>
        <xdr:cNvPicPr preferRelativeResize="0"/>
      </xdr:nvPicPr>
      <xdr:blipFill>
        <a:blip xmlns:r="http://schemas.openxmlformats.org/officeDocument/2006/relationships" r:embed="rId5" cstate="print"/>
        <a:stretch>
          <a:fillRect/>
        </a:stretch>
      </xdr:blipFill>
      <xdr:spPr>
        <a:xfrm>
          <a:off x="6343651" y="1104900"/>
          <a:ext cx="476250" cy="352425"/>
        </a:xfrm>
        <a:prstGeom prst="rect">
          <a:avLst/>
        </a:prstGeom>
        <a:noFill/>
      </xdr:spPr>
    </xdr:pic>
    <xdr:clientData fLocksWithSheet="0"/>
  </xdr:oneCellAnchor>
  <xdr:twoCellAnchor>
    <xdr:from>
      <xdr:col>5</xdr:col>
      <xdr:colOff>266700</xdr:colOff>
      <xdr:row>1</xdr:row>
      <xdr:rowOff>142875</xdr:rowOff>
    </xdr:from>
    <xdr:to>
      <xdr:col>13</xdr:col>
      <xdr:colOff>400050</xdr:colOff>
      <xdr:row>4</xdr:row>
      <xdr:rowOff>114300</xdr:rowOff>
    </xdr:to>
    <xdr:sp macro="" textlink="">
      <xdr:nvSpPr>
        <xdr:cNvPr id="73" name="TextBox 72">
          <a:extLst>
            <a:ext uri="{FF2B5EF4-FFF2-40B4-BE49-F238E27FC236}">
              <a16:creationId xmlns:a16="http://schemas.microsoft.com/office/drawing/2014/main" id="{88DA3FFE-A166-6408-6639-79FBC951EACF}"/>
            </a:ext>
          </a:extLst>
        </xdr:cNvPr>
        <xdr:cNvSpPr txBox="1"/>
      </xdr:nvSpPr>
      <xdr:spPr>
        <a:xfrm>
          <a:off x="3600450" y="342900"/>
          <a:ext cx="54673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accent5">
                  <a:lumMod val="75000"/>
                </a:schemeClr>
              </a:solidFill>
              <a:latin typeface="Arial Black" panose="020B0A04020102020204" pitchFamily="34" charset="0"/>
            </a:rPr>
            <a:t>HR</a:t>
          </a:r>
          <a:r>
            <a:rPr lang="en-IN" sz="2400" baseline="0">
              <a:solidFill>
                <a:schemeClr val="accent5">
                  <a:lumMod val="75000"/>
                </a:schemeClr>
              </a:solidFill>
              <a:latin typeface="Arial Black" panose="020B0A04020102020204" pitchFamily="34" charset="0"/>
            </a:rPr>
            <a:t> ANALYTICS DASHBOARD</a:t>
          </a:r>
          <a:endParaRPr lang="en-IN" sz="2400">
            <a:solidFill>
              <a:schemeClr val="accent5">
                <a:lumMod val="75000"/>
              </a:schemeClr>
            </a:solidFill>
            <a:latin typeface="Arial Black" panose="020B0A04020102020204" pitchFamily="34" charset="0"/>
          </a:endParaRPr>
        </a:p>
      </xdr:txBody>
    </xdr:sp>
    <xdr:clientData/>
  </xdr:twoCellAnchor>
  <xdr:oneCellAnchor>
    <xdr:from>
      <xdr:col>4</xdr:col>
      <xdr:colOff>314325</xdr:colOff>
      <xdr:row>1</xdr:row>
      <xdr:rowOff>142876</xdr:rowOff>
    </xdr:from>
    <xdr:ext cx="466725" cy="476250"/>
    <xdr:pic>
      <xdr:nvPicPr>
        <xdr:cNvPr id="74" name="image1.png">
          <a:extLst>
            <a:ext uri="{FF2B5EF4-FFF2-40B4-BE49-F238E27FC236}">
              <a16:creationId xmlns:a16="http://schemas.microsoft.com/office/drawing/2014/main" id="{49E020F7-1FC0-488E-B6CF-D605DEDF8200}"/>
            </a:ext>
          </a:extLst>
        </xdr:cNvPr>
        <xdr:cNvPicPr preferRelativeResize="0"/>
      </xdr:nvPicPr>
      <xdr:blipFill>
        <a:blip xmlns:r="http://schemas.openxmlformats.org/officeDocument/2006/relationships" r:embed="rId6" cstate="print"/>
        <a:stretch>
          <a:fillRect/>
        </a:stretch>
      </xdr:blipFill>
      <xdr:spPr>
        <a:xfrm>
          <a:off x="2981325" y="342901"/>
          <a:ext cx="466725" cy="476250"/>
        </a:xfrm>
        <a:prstGeom prst="rect">
          <a:avLst/>
        </a:prstGeom>
        <a:noFill/>
      </xdr:spPr>
    </xdr:pic>
    <xdr:clientData fLocksWithSheet="0"/>
  </xdr:oneCellAnchor>
  <xdr:oneCellAnchor>
    <xdr:from>
      <xdr:col>13</xdr:col>
      <xdr:colOff>257175</xdr:colOff>
      <xdr:row>1</xdr:row>
      <xdr:rowOff>95250</xdr:rowOff>
    </xdr:from>
    <xdr:ext cx="723900" cy="628650"/>
    <xdr:pic>
      <xdr:nvPicPr>
        <xdr:cNvPr id="75" name="image3.png">
          <a:extLst>
            <a:ext uri="{FF2B5EF4-FFF2-40B4-BE49-F238E27FC236}">
              <a16:creationId xmlns:a16="http://schemas.microsoft.com/office/drawing/2014/main" id="{E5D5E295-C698-4602-82CD-458CCA660218}"/>
            </a:ext>
          </a:extLst>
        </xdr:cNvPr>
        <xdr:cNvPicPr preferRelativeResize="0"/>
      </xdr:nvPicPr>
      <xdr:blipFill>
        <a:blip xmlns:r="http://schemas.openxmlformats.org/officeDocument/2006/relationships" r:embed="rId7" cstate="print"/>
        <a:stretch>
          <a:fillRect/>
        </a:stretch>
      </xdr:blipFill>
      <xdr:spPr>
        <a:xfrm>
          <a:off x="8924925" y="295275"/>
          <a:ext cx="723900" cy="628650"/>
        </a:xfrm>
        <a:prstGeom prst="rect">
          <a:avLst/>
        </a:prstGeom>
        <a:noFill/>
      </xdr:spPr>
    </xdr:pic>
    <xdr:clientData fLocksWithSheet="0"/>
  </xdr:oneCellAnchor>
  <xdr:twoCellAnchor>
    <xdr:from>
      <xdr:col>14</xdr:col>
      <xdr:colOff>447674</xdr:colOff>
      <xdr:row>1</xdr:row>
      <xdr:rowOff>47625</xdr:rowOff>
    </xdr:from>
    <xdr:to>
      <xdr:col>17</xdr:col>
      <xdr:colOff>476249</xdr:colOff>
      <xdr:row>4</xdr:row>
      <xdr:rowOff>171450</xdr:rowOff>
    </xdr:to>
    <xdr:sp macro="" textlink="">
      <xdr:nvSpPr>
        <xdr:cNvPr id="76" name="TextBox 75">
          <a:extLst>
            <a:ext uri="{FF2B5EF4-FFF2-40B4-BE49-F238E27FC236}">
              <a16:creationId xmlns:a16="http://schemas.microsoft.com/office/drawing/2014/main" id="{922B9734-85E1-8595-1F6D-BBDCDE2023EE}"/>
            </a:ext>
          </a:extLst>
        </xdr:cNvPr>
        <xdr:cNvSpPr txBox="1"/>
      </xdr:nvSpPr>
      <xdr:spPr>
        <a:xfrm>
          <a:off x="9782174" y="247650"/>
          <a:ext cx="20288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602928"/>
              </a:solidFill>
              <a:latin typeface="Arial Black" panose="020B0A04020102020204" pitchFamily="34" charset="0"/>
            </a:rPr>
            <a:t>JOB</a:t>
          </a:r>
        </a:p>
        <a:p>
          <a:r>
            <a:rPr lang="en-IN" sz="1200">
              <a:solidFill>
                <a:srgbClr val="602928"/>
              </a:solidFill>
              <a:latin typeface="Arial Black" panose="020B0A04020102020204" pitchFamily="34" charset="0"/>
            </a:rPr>
            <a:t>SATISFACTION</a:t>
          </a:r>
        </a:p>
        <a:p>
          <a:r>
            <a:rPr lang="en-IN" sz="1100">
              <a:solidFill>
                <a:srgbClr val="602928"/>
              </a:solidFill>
              <a:latin typeface="Arial Black" panose="020B0A04020102020204" pitchFamily="34" charset="0"/>
            </a:rPr>
            <a:t>RATING</a:t>
          </a:r>
        </a:p>
      </xdr:txBody>
    </xdr:sp>
    <xdr:clientData/>
  </xdr:twoCellAnchor>
  <xdr:twoCellAnchor>
    <xdr:from>
      <xdr:col>16</xdr:col>
      <xdr:colOff>304801</xdr:colOff>
      <xdr:row>1</xdr:row>
      <xdr:rowOff>0</xdr:rowOff>
    </xdr:from>
    <xdr:to>
      <xdr:col>17</xdr:col>
      <xdr:colOff>485775</xdr:colOff>
      <xdr:row>4</xdr:row>
      <xdr:rowOff>152400</xdr:rowOff>
    </xdr:to>
    <xdr:graphicFrame macro="">
      <xdr:nvGraphicFramePr>
        <xdr:cNvPr id="77" name="Chart 76">
          <a:extLst>
            <a:ext uri="{FF2B5EF4-FFF2-40B4-BE49-F238E27FC236}">
              <a16:creationId xmlns:a16="http://schemas.microsoft.com/office/drawing/2014/main" id="{74FC90E4-8990-4F2C-85F2-5695407EC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542926</xdr:colOff>
      <xdr:row>2</xdr:row>
      <xdr:rowOff>19050</xdr:rowOff>
    </xdr:from>
    <xdr:to>
      <xdr:col>17</xdr:col>
      <xdr:colOff>266700</xdr:colOff>
      <xdr:row>3</xdr:row>
      <xdr:rowOff>76200</xdr:rowOff>
    </xdr:to>
    <xdr:sp macro="" textlink="Rating!$B$6">
      <xdr:nvSpPr>
        <xdr:cNvPr id="78" name="TextBox 77">
          <a:extLst>
            <a:ext uri="{FF2B5EF4-FFF2-40B4-BE49-F238E27FC236}">
              <a16:creationId xmlns:a16="http://schemas.microsoft.com/office/drawing/2014/main" id="{3394DEAE-7A92-6CAD-3E7F-D1B76A2ED3D5}"/>
            </a:ext>
          </a:extLst>
        </xdr:cNvPr>
        <xdr:cNvSpPr txBox="1"/>
      </xdr:nvSpPr>
      <xdr:spPr>
        <a:xfrm>
          <a:off x="11210926" y="419100"/>
          <a:ext cx="39052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B039508-023C-44A7-8AB7-ADE60F40455C}" type="TxLink">
            <a:rPr lang="en-US" sz="800" b="0" i="0" u="none" strike="noStrike">
              <a:solidFill>
                <a:srgbClr val="002060"/>
              </a:solidFill>
              <a:latin typeface="Arial Black" panose="020B0A04020102020204" pitchFamily="34" charset="0"/>
              <a:ea typeface="Calibri"/>
              <a:cs typeface="Calibri"/>
            </a:rPr>
            <a:pPr/>
            <a:t>2.6</a:t>
          </a:fld>
          <a:endParaRPr lang="en-IN" sz="800">
            <a:solidFill>
              <a:srgbClr val="002060"/>
            </a:solidFill>
            <a:latin typeface="Arial Black" panose="020B0A04020102020204" pitchFamily="34" charset="0"/>
          </a:endParaRPr>
        </a:p>
      </xdr:txBody>
    </xdr:sp>
    <xdr:clientData/>
  </xdr:twoCellAnchor>
  <xdr:twoCellAnchor>
    <xdr:from>
      <xdr:col>17</xdr:col>
      <xdr:colOff>247649</xdr:colOff>
      <xdr:row>1</xdr:row>
      <xdr:rowOff>9526</xdr:rowOff>
    </xdr:from>
    <xdr:to>
      <xdr:col>19</xdr:col>
      <xdr:colOff>295275</xdr:colOff>
      <xdr:row>4</xdr:row>
      <xdr:rowOff>1</xdr:rowOff>
    </xdr:to>
    <xdr:graphicFrame macro="">
      <xdr:nvGraphicFramePr>
        <xdr:cNvPr id="80" name="Chart 79">
          <a:extLst>
            <a:ext uri="{FF2B5EF4-FFF2-40B4-BE49-F238E27FC236}">
              <a16:creationId xmlns:a16="http://schemas.microsoft.com/office/drawing/2014/main" id="{9E29B446-0DE5-4982-983B-7AEBC6B2A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304800</xdr:colOff>
      <xdr:row>1</xdr:row>
      <xdr:rowOff>133350</xdr:rowOff>
    </xdr:from>
    <xdr:to>
      <xdr:col>19</xdr:col>
      <xdr:colOff>219075</xdr:colOff>
      <xdr:row>3</xdr:row>
      <xdr:rowOff>104776</xdr:rowOff>
    </xdr:to>
    <xdr:sp macro="" textlink="">
      <xdr:nvSpPr>
        <xdr:cNvPr id="81" name="Freeform: Shape 80">
          <a:extLst>
            <a:ext uri="{FF2B5EF4-FFF2-40B4-BE49-F238E27FC236}">
              <a16:creationId xmlns:a16="http://schemas.microsoft.com/office/drawing/2014/main" id="{6A656E16-849C-49D3-65F4-1632CBEC60EC}"/>
            </a:ext>
          </a:extLst>
        </xdr:cNvPr>
        <xdr:cNvSpPr/>
      </xdr:nvSpPr>
      <xdr:spPr>
        <a:xfrm>
          <a:off x="11639550" y="333375"/>
          <a:ext cx="1247775" cy="371476"/>
        </a:xfrm>
        <a:custGeom>
          <a:avLst/>
          <a:gdLst>
            <a:gd name="csX0" fmla="*/ 2197509 w 2507225"/>
            <a:gd name="csY0" fmla="*/ 76200 h 668594"/>
            <a:gd name="csX1" fmla="*/ 2141804 w 2507225"/>
            <a:gd name="csY1" fmla="*/ 241446 h 668594"/>
            <a:gd name="csX2" fmla="*/ 1961535 w 2507225"/>
            <a:gd name="csY2" fmla="*/ 241445 h 668594"/>
            <a:gd name="csX3" fmla="*/ 2107377 w 2507225"/>
            <a:gd name="csY3" fmla="*/ 343572 h 668594"/>
            <a:gd name="csX4" fmla="*/ 2051669 w 2507225"/>
            <a:gd name="csY4" fmla="*/ 508818 h 668594"/>
            <a:gd name="csX5" fmla="*/ 2197509 w 2507225"/>
            <a:gd name="csY5" fmla="*/ 406689 h 668594"/>
            <a:gd name="csX6" fmla="*/ 2343349 w 2507225"/>
            <a:gd name="csY6" fmla="*/ 508818 h 668594"/>
            <a:gd name="csX7" fmla="*/ 2287641 w 2507225"/>
            <a:gd name="csY7" fmla="*/ 343572 h 668594"/>
            <a:gd name="csX8" fmla="*/ 2433483 w 2507225"/>
            <a:gd name="csY8" fmla="*/ 241445 h 668594"/>
            <a:gd name="csX9" fmla="*/ 2253214 w 2507225"/>
            <a:gd name="csY9" fmla="*/ 241446 h 668594"/>
            <a:gd name="csX10" fmla="*/ 1594465 w 2507225"/>
            <a:gd name="csY10" fmla="*/ 76200 h 668594"/>
            <a:gd name="csX11" fmla="*/ 1538760 w 2507225"/>
            <a:gd name="csY11" fmla="*/ 241446 h 668594"/>
            <a:gd name="csX12" fmla="*/ 1358491 w 2507225"/>
            <a:gd name="csY12" fmla="*/ 241445 h 668594"/>
            <a:gd name="csX13" fmla="*/ 1504333 w 2507225"/>
            <a:gd name="csY13" fmla="*/ 343572 h 668594"/>
            <a:gd name="csX14" fmla="*/ 1448625 w 2507225"/>
            <a:gd name="csY14" fmla="*/ 508818 h 668594"/>
            <a:gd name="csX15" fmla="*/ 1594465 w 2507225"/>
            <a:gd name="csY15" fmla="*/ 406689 h 668594"/>
            <a:gd name="csX16" fmla="*/ 1740305 w 2507225"/>
            <a:gd name="csY16" fmla="*/ 508818 h 668594"/>
            <a:gd name="csX17" fmla="*/ 1684597 w 2507225"/>
            <a:gd name="csY17" fmla="*/ 343572 h 668594"/>
            <a:gd name="csX18" fmla="*/ 1830439 w 2507225"/>
            <a:gd name="csY18" fmla="*/ 241445 h 668594"/>
            <a:gd name="csX19" fmla="*/ 1650170 w 2507225"/>
            <a:gd name="csY19" fmla="*/ 241446 h 668594"/>
            <a:gd name="csX20" fmla="*/ 991420 w 2507225"/>
            <a:gd name="csY20" fmla="*/ 76200 h 668594"/>
            <a:gd name="csX21" fmla="*/ 935715 w 2507225"/>
            <a:gd name="csY21" fmla="*/ 241446 h 668594"/>
            <a:gd name="csX22" fmla="*/ 755446 w 2507225"/>
            <a:gd name="csY22" fmla="*/ 241445 h 668594"/>
            <a:gd name="csX23" fmla="*/ 901288 w 2507225"/>
            <a:gd name="csY23" fmla="*/ 343572 h 668594"/>
            <a:gd name="csX24" fmla="*/ 845580 w 2507225"/>
            <a:gd name="csY24" fmla="*/ 508818 h 668594"/>
            <a:gd name="csX25" fmla="*/ 991420 w 2507225"/>
            <a:gd name="csY25" fmla="*/ 406689 h 668594"/>
            <a:gd name="csX26" fmla="*/ 1137260 w 2507225"/>
            <a:gd name="csY26" fmla="*/ 508818 h 668594"/>
            <a:gd name="csX27" fmla="*/ 1081552 w 2507225"/>
            <a:gd name="csY27" fmla="*/ 343572 h 668594"/>
            <a:gd name="csX28" fmla="*/ 1227394 w 2507225"/>
            <a:gd name="csY28" fmla="*/ 241445 h 668594"/>
            <a:gd name="csX29" fmla="*/ 1047125 w 2507225"/>
            <a:gd name="csY29" fmla="*/ 241446 h 668594"/>
            <a:gd name="csX30" fmla="*/ 388375 w 2507225"/>
            <a:gd name="csY30" fmla="*/ 76200 h 668594"/>
            <a:gd name="csX31" fmla="*/ 332670 w 2507225"/>
            <a:gd name="csY31" fmla="*/ 241446 h 668594"/>
            <a:gd name="csX32" fmla="*/ 152401 w 2507225"/>
            <a:gd name="csY32" fmla="*/ 241445 h 668594"/>
            <a:gd name="csX33" fmla="*/ 298243 w 2507225"/>
            <a:gd name="csY33" fmla="*/ 343572 h 668594"/>
            <a:gd name="csX34" fmla="*/ 242535 w 2507225"/>
            <a:gd name="csY34" fmla="*/ 508818 h 668594"/>
            <a:gd name="csX35" fmla="*/ 388375 w 2507225"/>
            <a:gd name="csY35" fmla="*/ 406689 h 668594"/>
            <a:gd name="csX36" fmla="*/ 534215 w 2507225"/>
            <a:gd name="csY36" fmla="*/ 508818 h 668594"/>
            <a:gd name="csX37" fmla="*/ 478507 w 2507225"/>
            <a:gd name="csY37" fmla="*/ 343572 h 668594"/>
            <a:gd name="csX38" fmla="*/ 624349 w 2507225"/>
            <a:gd name="csY38" fmla="*/ 241445 h 668594"/>
            <a:gd name="csX39" fmla="*/ 444080 w 2507225"/>
            <a:gd name="csY39" fmla="*/ 241446 h 668594"/>
            <a:gd name="csX40" fmla="*/ 0 w 2507225"/>
            <a:gd name="csY40" fmla="*/ 0 h 668594"/>
            <a:gd name="csX41" fmla="*/ 2507225 w 2507225"/>
            <a:gd name="csY41" fmla="*/ 0 h 668594"/>
            <a:gd name="csX42" fmla="*/ 2507225 w 2507225"/>
            <a:gd name="csY42" fmla="*/ 668594 h 668594"/>
            <a:gd name="csX43" fmla="*/ 0 w 2507225"/>
            <a:gd name="csY43" fmla="*/ 668594 h 66859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507225" h="668594">
              <a:moveTo>
                <a:pt x="2197509" y="76200"/>
              </a:moveTo>
              <a:lnTo>
                <a:pt x="2141804" y="241446"/>
              </a:lnTo>
              <a:lnTo>
                <a:pt x="1961535" y="241445"/>
              </a:lnTo>
              <a:lnTo>
                <a:pt x="2107377" y="343572"/>
              </a:lnTo>
              <a:lnTo>
                <a:pt x="2051669" y="508818"/>
              </a:lnTo>
              <a:lnTo>
                <a:pt x="2197509" y="406689"/>
              </a:lnTo>
              <a:lnTo>
                <a:pt x="2343349" y="508818"/>
              </a:lnTo>
              <a:lnTo>
                <a:pt x="2287641" y="343572"/>
              </a:lnTo>
              <a:lnTo>
                <a:pt x="2433483" y="241445"/>
              </a:lnTo>
              <a:lnTo>
                <a:pt x="2253214" y="241446"/>
              </a:lnTo>
              <a:close/>
              <a:moveTo>
                <a:pt x="1594465" y="76200"/>
              </a:moveTo>
              <a:lnTo>
                <a:pt x="1538760" y="241446"/>
              </a:lnTo>
              <a:lnTo>
                <a:pt x="1358491" y="241445"/>
              </a:lnTo>
              <a:lnTo>
                <a:pt x="1504333" y="343572"/>
              </a:lnTo>
              <a:lnTo>
                <a:pt x="1448625" y="508818"/>
              </a:lnTo>
              <a:lnTo>
                <a:pt x="1594465" y="406689"/>
              </a:lnTo>
              <a:lnTo>
                <a:pt x="1740305" y="508818"/>
              </a:lnTo>
              <a:lnTo>
                <a:pt x="1684597" y="343572"/>
              </a:lnTo>
              <a:lnTo>
                <a:pt x="1830439" y="241445"/>
              </a:lnTo>
              <a:lnTo>
                <a:pt x="1650170" y="241446"/>
              </a:lnTo>
              <a:close/>
              <a:moveTo>
                <a:pt x="991420" y="76200"/>
              </a:moveTo>
              <a:lnTo>
                <a:pt x="935715" y="241446"/>
              </a:lnTo>
              <a:lnTo>
                <a:pt x="755446" y="241445"/>
              </a:lnTo>
              <a:lnTo>
                <a:pt x="901288" y="343572"/>
              </a:lnTo>
              <a:lnTo>
                <a:pt x="845580" y="508818"/>
              </a:lnTo>
              <a:lnTo>
                <a:pt x="991420" y="406689"/>
              </a:lnTo>
              <a:lnTo>
                <a:pt x="1137260" y="508818"/>
              </a:lnTo>
              <a:lnTo>
                <a:pt x="1081552" y="343572"/>
              </a:lnTo>
              <a:lnTo>
                <a:pt x="1227394" y="241445"/>
              </a:lnTo>
              <a:lnTo>
                <a:pt x="1047125" y="241446"/>
              </a:lnTo>
              <a:close/>
              <a:moveTo>
                <a:pt x="388375" y="76200"/>
              </a:moveTo>
              <a:lnTo>
                <a:pt x="332670" y="241446"/>
              </a:lnTo>
              <a:lnTo>
                <a:pt x="152401" y="241445"/>
              </a:lnTo>
              <a:lnTo>
                <a:pt x="298243" y="343572"/>
              </a:lnTo>
              <a:lnTo>
                <a:pt x="242535" y="508818"/>
              </a:lnTo>
              <a:lnTo>
                <a:pt x="388375" y="406689"/>
              </a:lnTo>
              <a:lnTo>
                <a:pt x="534215" y="508818"/>
              </a:lnTo>
              <a:lnTo>
                <a:pt x="478507" y="343572"/>
              </a:lnTo>
              <a:lnTo>
                <a:pt x="624349" y="241445"/>
              </a:lnTo>
              <a:lnTo>
                <a:pt x="444080" y="241446"/>
              </a:lnTo>
              <a:close/>
              <a:moveTo>
                <a:pt x="0" y="0"/>
              </a:moveTo>
              <a:lnTo>
                <a:pt x="2507225" y="0"/>
              </a:lnTo>
              <a:lnTo>
                <a:pt x="2507225" y="668594"/>
              </a:lnTo>
              <a:lnTo>
                <a:pt x="0" y="668594"/>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552450</xdr:colOff>
      <xdr:row>14</xdr:row>
      <xdr:rowOff>171450</xdr:rowOff>
    </xdr:from>
    <xdr:to>
      <xdr:col>8</xdr:col>
      <xdr:colOff>381001</xdr:colOff>
      <xdr:row>22</xdr:row>
      <xdr:rowOff>76199</xdr:rowOff>
    </xdr:to>
    <xdr:grpSp>
      <xdr:nvGrpSpPr>
        <xdr:cNvPr id="94" name="Group 93">
          <a:extLst>
            <a:ext uri="{FF2B5EF4-FFF2-40B4-BE49-F238E27FC236}">
              <a16:creationId xmlns:a16="http://schemas.microsoft.com/office/drawing/2014/main" id="{A7B864D3-79C0-5B20-2EE9-CD610CD441D5}"/>
            </a:ext>
          </a:extLst>
        </xdr:cNvPr>
        <xdr:cNvGrpSpPr/>
      </xdr:nvGrpSpPr>
      <xdr:grpSpPr>
        <a:xfrm>
          <a:off x="2552700" y="2971800"/>
          <a:ext cx="3162301" cy="1504949"/>
          <a:chOff x="2609850" y="2990850"/>
          <a:chExt cx="3162301" cy="1504949"/>
        </a:xfrm>
      </xdr:grpSpPr>
      <xdr:graphicFrame macro="">
        <xdr:nvGraphicFramePr>
          <xdr:cNvPr id="85" name="Chart 84">
            <a:extLst>
              <a:ext uri="{FF2B5EF4-FFF2-40B4-BE49-F238E27FC236}">
                <a16:creationId xmlns:a16="http://schemas.microsoft.com/office/drawing/2014/main" id="{C06AA3D5-9AD0-4B22-9670-E4569F745891}"/>
              </a:ext>
            </a:extLst>
          </xdr:cNvPr>
          <xdr:cNvGraphicFramePr>
            <a:graphicFrameLocks/>
          </xdr:cNvGraphicFramePr>
        </xdr:nvGraphicFramePr>
        <xdr:xfrm>
          <a:off x="2609850" y="3133724"/>
          <a:ext cx="1390650" cy="136207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6" name="Chart 85">
            <a:extLst>
              <a:ext uri="{FF2B5EF4-FFF2-40B4-BE49-F238E27FC236}">
                <a16:creationId xmlns:a16="http://schemas.microsoft.com/office/drawing/2014/main" id="{8B817AB1-AFEF-4AD8-9276-17E897096852}"/>
              </a:ext>
            </a:extLst>
          </xdr:cNvPr>
          <xdr:cNvGraphicFramePr>
            <a:graphicFrameLocks/>
          </xdr:cNvGraphicFramePr>
        </xdr:nvGraphicFramePr>
        <xdr:xfrm>
          <a:off x="4457700" y="2990850"/>
          <a:ext cx="1314451" cy="1214437"/>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88" name="Graphic 87" descr="Male profile with solid fill">
            <a:extLst>
              <a:ext uri="{FF2B5EF4-FFF2-40B4-BE49-F238E27FC236}">
                <a16:creationId xmlns:a16="http://schemas.microsoft.com/office/drawing/2014/main" id="{D0A17772-0329-7CDB-2138-732001822C7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24350" y="3432562"/>
            <a:ext cx="756000" cy="756000"/>
          </a:xfrm>
          <a:prstGeom prst="rect">
            <a:avLst/>
          </a:prstGeom>
        </xdr:spPr>
      </xdr:pic>
      <xdr:pic>
        <xdr:nvPicPr>
          <xdr:cNvPr id="90" name="Graphic 89" descr="Female Profile with solid fill">
            <a:extLst>
              <a:ext uri="{FF2B5EF4-FFF2-40B4-BE49-F238E27FC236}">
                <a16:creationId xmlns:a16="http://schemas.microsoft.com/office/drawing/2014/main" id="{41A967F2-F16F-84BD-73F8-21D5DBE9E4D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531375" y="3450562"/>
            <a:ext cx="720000" cy="720000"/>
          </a:xfrm>
          <a:prstGeom prst="rect">
            <a:avLst/>
          </a:prstGeom>
        </xdr:spPr>
      </xdr:pic>
      <xdr:sp macro="" textlink="Gender!$B$8">
        <xdr:nvSpPr>
          <xdr:cNvPr id="91" name="TextBox 90">
            <a:extLst>
              <a:ext uri="{FF2B5EF4-FFF2-40B4-BE49-F238E27FC236}">
                <a16:creationId xmlns:a16="http://schemas.microsoft.com/office/drawing/2014/main" id="{72B87AD8-86B5-4312-94F5-078808116B69}"/>
              </a:ext>
            </a:extLst>
          </xdr:cNvPr>
          <xdr:cNvSpPr txBox="1"/>
        </xdr:nvSpPr>
        <xdr:spPr>
          <a:xfrm>
            <a:off x="3038475" y="3705225"/>
            <a:ext cx="495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C5FDA7-C528-4D0F-B6AD-F19B4160DE77}" type="TxLink">
              <a:rPr lang="en-US" sz="1200" b="0" i="0" u="none" strike="noStrike">
                <a:solidFill>
                  <a:schemeClr val="accent1">
                    <a:lumMod val="75000"/>
                  </a:schemeClr>
                </a:solidFill>
                <a:latin typeface="Arial Black" panose="020B0A04020102020204" pitchFamily="34" charset="0"/>
                <a:ea typeface="Calibri"/>
                <a:cs typeface="Calibri"/>
              </a:rPr>
              <a:pPr algn="ctr"/>
              <a:t>588</a:t>
            </a:fld>
            <a:endParaRPr lang="en-IN" sz="900">
              <a:solidFill>
                <a:schemeClr val="accent1">
                  <a:lumMod val="75000"/>
                </a:schemeClr>
              </a:solidFill>
              <a:latin typeface="Arial Black" panose="020B0A04020102020204" pitchFamily="34" charset="0"/>
            </a:endParaRPr>
          </a:p>
        </xdr:txBody>
      </xdr:sp>
      <xdr:sp macro="" textlink="Gender!$B$9">
        <xdr:nvSpPr>
          <xdr:cNvPr id="92" name="TextBox 91">
            <a:extLst>
              <a:ext uri="{FF2B5EF4-FFF2-40B4-BE49-F238E27FC236}">
                <a16:creationId xmlns:a16="http://schemas.microsoft.com/office/drawing/2014/main" id="{05B737E2-A209-4A16-BC3A-69FAA2CF641C}"/>
              </a:ext>
            </a:extLst>
          </xdr:cNvPr>
          <xdr:cNvSpPr txBox="1"/>
        </xdr:nvSpPr>
        <xdr:spPr>
          <a:xfrm>
            <a:off x="5153025" y="3648075"/>
            <a:ext cx="495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B3D0E3-CFFC-4A1E-A866-EDE2DF1FA522}" type="TxLink">
              <a:rPr lang="en-US" sz="1200" b="0" i="0" u="none" strike="noStrike">
                <a:solidFill>
                  <a:schemeClr val="accent1">
                    <a:lumMod val="75000"/>
                  </a:schemeClr>
                </a:solidFill>
                <a:latin typeface="Arial Black" panose="020B0A04020102020204" pitchFamily="34" charset="0"/>
                <a:ea typeface="Calibri"/>
                <a:cs typeface="Calibri"/>
              </a:rPr>
              <a:pPr algn="ctr"/>
              <a:t>882</a:t>
            </a:fld>
            <a:endParaRPr lang="en-IN" sz="900">
              <a:solidFill>
                <a:schemeClr val="accent1">
                  <a:lumMod val="75000"/>
                </a:schemeClr>
              </a:solidFill>
              <a:latin typeface="Arial Black" panose="020B0A04020102020204" pitchFamily="34" charset="0"/>
            </a:endParaRPr>
          </a:p>
        </xdr:txBody>
      </xdr:sp>
    </xdr:grpSp>
    <xdr:clientData/>
  </xdr:twoCellAnchor>
  <xdr:twoCellAnchor>
    <xdr:from>
      <xdr:col>4</xdr:col>
      <xdr:colOff>266700</xdr:colOff>
      <xdr:row>10</xdr:row>
      <xdr:rowOff>104775</xdr:rowOff>
    </xdr:from>
    <xdr:to>
      <xdr:col>8</xdr:col>
      <xdr:colOff>228600</xdr:colOff>
      <xdr:row>11</xdr:row>
      <xdr:rowOff>171450</xdr:rowOff>
    </xdr:to>
    <xdr:sp macro="" textlink="">
      <xdr:nvSpPr>
        <xdr:cNvPr id="96" name="TextBox 95">
          <a:extLst>
            <a:ext uri="{FF2B5EF4-FFF2-40B4-BE49-F238E27FC236}">
              <a16:creationId xmlns:a16="http://schemas.microsoft.com/office/drawing/2014/main" id="{691EB468-B946-2239-5635-5B790F82D0CC}"/>
            </a:ext>
          </a:extLst>
        </xdr:cNvPr>
        <xdr:cNvSpPr txBox="1"/>
      </xdr:nvSpPr>
      <xdr:spPr>
        <a:xfrm>
          <a:off x="2933700" y="2105025"/>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Total</a:t>
          </a:r>
          <a:r>
            <a:rPr lang="en-IN" sz="1200" baseline="0">
              <a:solidFill>
                <a:srgbClr val="C00000"/>
              </a:solidFill>
              <a:latin typeface="Arial Black" panose="020B0A04020102020204" pitchFamily="34" charset="0"/>
            </a:rPr>
            <a:t> Employees by Gender</a:t>
          </a:r>
          <a:endParaRPr lang="en-IN" sz="1200">
            <a:solidFill>
              <a:srgbClr val="C00000"/>
            </a:solidFill>
            <a:latin typeface="Arial Black" panose="020B0A04020102020204" pitchFamily="34" charset="0"/>
          </a:endParaRPr>
        </a:p>
      </xdr:txBody>
    </xdr:sp>
    <xdr:clientData/>
  </xdr:twoCellAnchor>
  <xdr:twoCellAnchor editAs="oneCell">
    <xdr:from>
      <xdr:col>4</xdr:col>
      <xdr:colOff>571500</xdr:colOff>
      <xdr:row>12</xdr:row>
      <xdr:rowOff>85725</xdr:rowOff>
    </xdr:from>
    <xdr:to>
      <xdr:col>7</xdr:col>
      <xdr:colOff>400050</xdr:colOff>
      <xdr:row>15</xdr:row>
      <xdr:rowOff>161925</xdr:rowOff>
    </xdr:to>
    <mc:AlternateContent xmlns:mc="http://schemas.openxmlformats.org/markup-compatibility/2006" xmlns:a14="http://schemas.microsoft.com/office/drawing/2010/main">
      <mc:Choice Requires="a14">
        <xdr:graphicFrame macro="">
          <xdr:nvGraphicFramePr>
            <xdr:cNvPr id="97" name="Gender 3">
              <a:extLst>
                <a:ext uri="{FF2B5EF4-FFF2-40B4-BE49-F238E27FC236}">
                  <a16:creationId xmlns:a16="http://schemas.microsoft.com/office/drawing/2014/main" id="{A794E337-8178-42EB-B152-A758AE9EAED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238500" y="2486025"/>
              <a:ext cx="182880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628650</xdr:colOff>
      <xdr:row>12</xdr:row>
      <xdr:rowOff>66675</xdr:rowOff>
    </xdr:from>
    <xdr:to>
      <xdr:col>14</xdr:col>
      <xdr:colOff>180975</xdr:colOff>
      <xdr:row>22</xdr:row>
      <xdr:rowOff>114301</xdr:rowOff>
    </xdr:to>
    <xdr:graphicFrame macro="">
      <xdr:nvGraphicFramePr>
        <xdr:cNvPr id="98" name="Chart 97">
          <a:extLst>
            <a:ext uri="{FF2B5EF4-FFF2-40B4-BE49-F238E27FC236}">
              <a16:creationId xmlns:a16="http://schemas.microsoft.com/office/drawing/2014/main" id="{820FC794-7DA6-4EC4-B4B5-932A92EFB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9525</xdr:colOff>
      <xdr:row>10</xdr:row>
      <xdr:rowOff>104775</xdr:rowOff>
    </xdr:from>
    <xdr:to>
      <xdr:col>12</xdr:col>
      <xdr:colOff>638175</xdr:colOff>
      <xdr:row>11</xdr:row>
      <xdr:rowOff>171450</xdr:rowOff>
    </xdr:to>
    <xdr:sp macro="" textlink="">
      <xdr:nvSpPr>
        <xdr:cNvPr id="101" name="TextBox 100">
          <a:extLst>
            <a:ext uri="{FF2B5EF4-FFF2-40B4-BE49-F238E27FC236}">
              <a16:creationId xmlns:a16="http://schemas.microsoft.com/office/drawing/2014/main" id="{8B6EE66B-6523-49E0-85D4-9B8017A754D0}"/>
            </a:ext>
          </a:extLst>
        </xdr:cNvPr>
        <xdr:cNvSpPr txBox="1"/>
      </xdr:nvSpPr>
      <xdr:spPr>
        <a:xfrm>
          <a:off x="6010275" y="2105025"/>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Education</a:t>
          </a:r>
          <a:r>
            <a:rPr lang="en-IN" sz="1200" baseline="0">
              <a:solidFill>
                <a:srgbClr val="C00000"/>
              </a:solidFill>
              <a:latin typeface="Arial Black" panose="020B0A04020102020204" pitchFamily="34" charset="0"/>
            </a:rPr>
            <a:t> wise Attrition</a:t>
          </a:r>
          <a:endParaRPr lang="en-IN" sz="1200">
            <a:solidFill>
              <a:srgbClr val="C00000"/>
            </a:solidFill>
            <a:latin typeface="Arial Black" panose="020B0A04020102020204" pitchFamily="34" charset="0"/>
          </a:endParaRPr>
        </a:p>
      </xdr:txBody>
    </xdr:sp>
    <xdr:clientData/>
  </xdr:twoCellAnchor>
  <xdr:twoCellAnchor>
    <xdr:from>
      <xdr:col>14</xdr:col>
      <xdr:colOff>314325</xdr:colOff>
      <xdr:row>12</xdr:row>
      <xdr:rowOff>19050</xdr:rowOff>
    </xdr:from>
    <xdr:to>
      <xdr:col>19</xdr:col>
      <xdr:colOff>209550</xdr:colOff>
      <xdr:row>22</xdr:row>
      <xdr:rowOff>123825</xdr:rowOff>
    </xdr:to>
    <mc:AlternateContent xmlns:mc="http://schemas.openxmlformats.org/markup-compatibility/2006">
      <mc:Choice xmlns:cx1="http://schemas.microsoft.com/office/drawing/2015/9/8/chartex" Requires="cx1">
        <xdr:graphicFrame macro="">
          <xdr:nvGraphicFramePr>
            <xdr:cNvPr id="102" name="Chart 101">
              <a:extLst>
                <a:ext uri="{FF2B5EF4-FFF2-40B4-BE49-F238E27FC236}">
                  <a16:creationId xmlns:a16="http://schemas.microsoft.com/office/drawing/2014/main" id="{FBA94E49-572A-4D73-ABC1-C51BF3DC5C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702165" y="2396490"/>
              <a:ext cx="3248025" cy="20859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381000</xdr:colOff>
      <xdr:row>10</xdr:row>
      <xdr:rowOff>85725</xdr:rowOff>
    </xdr:from>
    <xdr:to>
      <xdr:col>18</xdr:col>
      <xdr:colOff>342900</xdr:colOff>
      <xdr:row>11</xdr:row>
      <xdr:rowOff>152400</xdr:rowOff>
    </xdr:to>
    <xdr:sp macro="" textlink="">
      <xdr:nvSpPr>
        <xdr:cNvPr id="103" name="TextBox 102">
          <a:extLst>
            <a:ext uri="{FF2B5EF4-FFF2-40B4-BE49-F238E27FC236}">
              <a16:creationId xmlns:a16="http://schemas.microsoft.com/office/drawing/2014/main" id="{3D59E607-5288-4FE8-84B4-E7A2151F58B6}"/>
            </a:ext>
          </a:extLst>
        </xdr:cNvPr>
        <xdr:cNvSpPr txBox="1"/>
      </xdr:nvSpPr>
      <xdr:spPr>
        <a:xfrm>
          <a:off x="9715500" y="2085975"/>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Attrition</a:t>
          </a:r>
          <a:r>
            <a:rPr lang="en-IN" sz="1200" baseline="0">
              <a:solidFill>
                <a:srgbClr val="C00000"/>
              </a:solidFill>
              <a:latin typeface="Arial Black" panose="020B0A04020102020204" pitchFamily="34" charset="0"/>
            </a:rPr>
            <a:t> by Job Role</a:t>
          </a:r>
          <a:endParaRPr lang="en-IN" sz="1200">
            <a:solidFill>
              <a:srgbClr val="C00000"/>
            </a:solidFill>
            <a:latin typeface="Arial Black" panose="020B0A04020102020204" pitchFamily="34" charset="0"/>
          </a:endParaRPr>
        </a:p>
      </xdr:txBody>
    </xdr:sp>
    <xdr:clientData/>
  </xdr:twoCellAnchor>
  <xdr:twoCellAnchor>
    <xdr:from>
      <xdr:col>4</xdr:col>
      <xdr:colOff>266700</xdr:colOff>
      <xdr:row>25</xdr:row>
      <xdr:rowOff>47625</xdr:rowOff>
    </xdr:from>
    <xdr:to>
      <xdr:col>8</xdr:col>
      <xdr:colOff>457200</xdr:colOff>
      <xdr:row>35</xdr:row>
      <xdr:rowOff>152399</xdr:rowOff>
    </xdr:to>
    <xdr:graphicFrame macro="">
      <xdr:nvGraphicFramePr>
        <xdr:cNvPr id="104" name="Chart 103">
          <a:extLst>
            <a:ext uri="{FF2B5EF4-FFF2-40B4-BE49-F238E27FC236}">
              <a16:creationId xmlns:a16="http://schemas.microsoft.com/office/drawing/2014/main" id="{AE0C6B54-BB4C-4B51-9954-A0A3B23E8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257175</xdr:colOff>
      <xdr:row>23</xdr:row>
      <xdr:rowOff>123825</xdr:rowOff>
    </xdr:from>
    <xdr:to>
      <xdr:col>8</xdr:col>
      <xdr:colOff>219075</xdr:colOff>
      <xdr:row>24</xdr:row>
      <xdr:rowOff>190500</xdr:rowOff>
    </xdr:to>
    <xdr:sp macro="" textlink="">
      <xdr:nvSpPr>
        <xdr:cNvPr id="105" name="TextBox 104">
          <a:extLst>
            <a:ext uri="{FF2B5EF4-FFF2-40B4-BE49-F238E27FC236}">
              <a16:creationId xmlns:a16="http://schemas.microsoft.com/office/drawing/2014/main" id="{7355539C-2758-4506-A84E-EFAF473B1EC4}"/>
            </a:ext>
          </a:extLst>
        </xdr:cNvPr>
        <xdr:cNvSpPr txBox="1"/>
      </xdr:nvSpPr>
      <xdr:spPr>
        <a:xfrm>
          <a:off x="2924175" y="4724400"/>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Department</a:t>
          </a:r>
          <a:r>
            <a:rPr lang="en-IN" sz="1200" baseline="0">
              <a:solidFill>
                <a:srgbClr val="C00000"/>
              </a:solidFill>
              <a:latin typeface="Arial Black" panose="020B0A04020102020204" pitchFamily="34" charset="0"/>
            </a:rPr>
            <a:t> wise Attrition</a:t>
          </a:r>
          <a:endParaRPr lang="en-IN" sz="1200">
            <a:solidFill>
              <a:srgbClr val="C00000"/>
            </a:solidFill>
            <a:latin typeface="Arial Black" panose="020B0A04020102020204" pitchFamily="34" charset="0"/>
          </a:endParaRPr>
        </a:p>
      </xdr:txBody>
    </xdr:sp>
    <xdr:clientData/>
  </xdr:twoCellAnchor>
  <xdr:twoCellAnchor>
    <xdr:from>
      <xdr:col>8</xdr:col>
      <xdr:colOff>571500</xdr:colOff>
      <xdr:row>25</xdr:row>
      <xdr:rowOff>47625</xdr:rowOff>
    </xdr:from>
    <xdr:to>
      <xdr:col>12</xdr:col>
      <xdr:colOff>581025</xdr:colOff>
      <xdr:row>35</xdr:row>
      <xdr:rowOff>142875</xdr:rowOff>
    </xdr:to>
    <xdr:graphicFrame macro="">
      <xdr:nvGraphicFramePr>
        <xdr:cNvPr id="106" name="Chart 105">
          <a:extLst>
            <a:ext uri="{FF2B5EF4-FFF2-40B4-BE49-F238E27FC236}">
              <a16:creationId xmlns:a16="http://schemas.microsoft.com/office/drawing/2014/main" id="{CFC1EC82-9B5C-4A58-9FBA-A38124AD0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647700</xdr:colOff>
      <xdr:row>23</xdr:row>
      <xdr:rowOff>104775</xdr:rowOff>
    </xdr:from>
    <xdr:to>
      <xdr:col>12</xdr:col>
      <xdr:colOff>609600</xdr:colOff>
      <xdr:row>24</xdr:row>
      <xdr:rowOff>171450</xdr:rowOff>
    </xdr:to>
    <xdr:sp macro="" textlink="">
      <xdr:nvSpPr>
        <xdr:cNvPr id="107" name="TextBox 106">
          <a:extLst>
            <a:ext uri="{FF2B5EF4-FFF2-40B4-BE49-F238E27FC236}">
              <a16:creationId xmlns:a16="http://schemas.microsoft.com/office/drawing/2014/main" id="{55E7824C-CAC8-430F-822E-A537FFCE50FA}"/>
            </a:ext>
          </a:extLst>
        </xdr:cNvPr>
        <xdr:cNvSpPr txBox="1"/>
      </xdr:nvSpPr>
      <xdr:spPr>
        <a:xfrm>
          <a:off x="5981700" y="4705350"/>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Attrition</a:t>
          </a:r>
          <a:r>
            <a:rPr lang="en-IN" sz="1200" baseline="0">
              <a:solidFill>
                <a:srgbClr val="C00000"/>
              </a:solidFill>
              <a:latin typeface="Arial Black" panose="020B0A04020102020204" pitchFamily="34" charset="0"/>
            </a:rPr>
            <a:t> by Age Group</a:t>
          </a:r>
          <a:endParaRPr lang="en-IN" sz="1200">
            <a:solidFill>
              <a:srgbClr val="C00000"/>
            </a:solidFill>
            <a:latin typeface="Arial Black" panose="020B0A04020102020204" pitchFamily="34" charset="0"/>
          </a:endParaRPr>
        </a:p>
      </xdr:txBody>
    </xdr:sp>
    <xdr:clientData/>
  </xdr:twoCellAnchor>
  <xdr:twoCellAnchor>
    <xdr:from>
      <xdr:col>13</xdr:col>
      <xdr:colOff>19051</xdr:colOff>
      <xdr:row>25</xdr:row>
      <xdr:rowOff>47625</xdr:rowOff>
    </xdr:from>
    <xdr:to>
      <xdr:col>16</xdr:col>
      <xdr:colOff>171451</xdr:colOff>
      <xdr:row>35</xdr:row>
      <xdr:rowOff>133350</xdr:rowOff>
    </xdr:to>
    <mc:AlternateContent xmlns:mc="http://schemas.openxmlformats.org/markup-compatibility/2006">
      <mc:Choice xmlns:cx2="http://schemas.microsoft.com/office/drawing/2015/10/21/chartex" Requires="cx2">
        <xdr:graphicFrame macro="">
          <xdr:nvGraphicFramePr>
            <xdr:cNvPr id="108" name="Chart 107">
              <a:extLst>
                <a:ext uri="{FF2B5EF4-FFF2-40B4-BE49-F238E27FC236}">
                  <a16:creationId xmlns:a16="http://schemas.microsoft.com/office/drawing/2014/main" id="{DADEA243-B4A5-498C-9549-A9870D00B1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736331" y="5000625"/>
              <a:ext cx="2164080" cy="2066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171450</xdr:colOff>
      <xdr:row>0</xdr:row>
      <xdr:rowOff>114300</xdr:rowOff>
    </xdr:from>
    <xdr:to>
      <xdr:col>8</xdr:col>
      <xdr:colOff>133350</xdr:colOff>
      <xdr:row>1</xdr:row>
      <xdr:rowOff>180975</xdr:rowOff>
    </xdr:to>
    <xdr:sp macro="" textlink="">
      <xdr:nvSpPr>
        <xdr:cNvPr id="109" name="TextBox 108">
          <a:extLst>
            <a:ext uri="{FF2B5EF4-FFF2-40B4-BE49-F238E27FC236}">
              <a16:creationId xmlns:a16="http://schemas.microsoft.com/office/drawing/2014/main" id="{B2B152ED-79B8-4EE4-AF9B-BE3E00E1800D}"/>
            </a:ext>
          </a:extLst>
        </xdr:cNvPr>
        <xdr:cNvSpPr txBox="1"/>
      </xdr:nvSpPr>
      <xdr:spPr>
        <a:xfrm>
          <a:off x="2838450" y="114300"/>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Attrition</a:t>
          </a:r>
          <a:r>
            <a:rPr lang="en-IN" sz="1200" baseline="0">
              <a:solidFill>
                <a:srgbClr val="C00000"/>
              </a:solidFill>
              <a:latin typeface="Arial Black" panose="020B0A04020102020204" pitchFamily="34" charset="0"/>
            </a:rPr>
            <a:t> by Age Group</a:t>
          </a:r>
          <a:endParaRPr lang="en-IN" sz="1200">
            <a:solidFill>
              <a:srgbClr val="C00000"/>
            </a:solidFill>
            <a:latin typeface="Arial Black" panose="020B0A04020102020204" pitchFamily="34" charset="0"/>
          </a:endParaRPr>
        </a:p>
      </xdr:txBody>
    </xdr:sp>
    <xdr:clientData/>
  </xdr:twoCellAnchor>
  <xdr:twoCellAnchor>
    <xdr:from>
      <xdr:col>13</xdr:col>
      <xdr:colOff>95250</xdr:colOff>
      <xdr:row>23</xdr:row>
      <xdr:rowOff>123825</xdr:rowOff>
    </xdr:from>
    <xdr:to>
      <xdr:col>17</xdr:col>
      <xdr:colOff>57150</xdr:colOff>
      <xdr:row>24</xdr:row>
      <xdr:rowOff>190500</xdr:rowOff>
    </xdr:to>
    <xdr:sp macro="" textlink="">
      <xdr:nvSpPr>
        <xdr:cNvPr id="110" name="TextBox 109">
          <a:extLst>
            <a:ext uri="{FF2B5EF4-FFF2-40B4-BE49-F238E27FC236}">
              <a16:creationId xmlns:a16="http://schemas.microsoft.com/office/drawing/2014/main" id="{FF23BA19-341B-4CB1-B320-595DD61802D2}"/>
            </a:ext>
          </a:extLst>
        </xdr:cNvPr>
        <xdr:cNvSpPr txBox="1"/>
      </xdr:nvSpPr>
      <xdr:spPr>
        <a:xfrm>
          <a:off x="8763000" y="4724400"/>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rgbClr val="C00000"/>
              </a:solidFill>
              <a:latin typeface="Arial Black" panose="020B0A04020102020204" pitchFamily="34" charset="0"/>
            </a:rPr>
            <a:t>Attrition</a:t>
          </a:r>
          <a:r>
            <a:rPr lang="en-IN" sz="1000" baseline="0">
              <a:solidFill>
                <a:srgbClr val="C00000"/>
              </a:solidFill>
              <a:latin typeface="Arial Black" panose="020B0A04020102020204" pitchFamily="34" charset="0"/>
            </a:rPr>
            <a:t> by Marital Status</a:t>
          </a:r>
          <a:endParaRPr lang="en-IN" sz="1000">
            <a:solidFill>
              <a:srgbClr val="C00000"/>
            </a:solidFill>
            <a:latin typeface="Arial Black" panose="020B0A04020102020204" pitchFamily="34" charset="0"/>
          </a:endParaRPr>
        </a:p>
      </xdr:txBody>
    </xdr:sp>
    <xdr:clientData/>
  </xdr:twoCellAnchor>
  <xdr:twoCellAnchor editAs="oneCell">
    <xdr:from>
      <xdr:col>18</xdr:col>
      <xdr:colOff>312420</xdr:colOff>
      <xdr:row>26</xdr:row>
      <xdr:rowOff>114300</xdr:rowOff>
    </xdr:from>
    <xdr:to>
      <xdr:col>19</xdr:col>
      <xdr:colOff>314325</xdr:colOff>
      <xdr:row>32</xdr:row>
      <xdr:rowOff>161925</xdr:rowOff>
    </xdr:to>
    <mc:AlternateContent xmlns:mc="http://schemas.openxmlformats.org/markup-compatibility/2006" xmlns:a14="http://schemas.microsoft.com/office/drawing/2010/main">
      <mc:Choice Requires="a14">
        <xdr:graphicFrame macro="">
          <xdr:nvGraphicFramePr>
            <xdr:cNvPr id="112" name="Department 1">
              <a:extLst>
                <a:ext uri="{FF2B5EF4-FFF2-40B4-BE49-F238E27FC236}">
                  <a16:creationId xmlns:a16="http://schemas.microsoft.com/office/drawing/2014/main" id="{617951B4-979E-42D7-BB10-449EACB8171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313920" y="5314950"/>
              <a:ext cx="668655"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26</xdr:row>
      <xdr:rowOff>28575</xdr:rowOff>
    </xdr:from>
    <xdr:to>
      <xdr:col>18</xdr:col>
      <xdr:colOff>352425</xdr:colOff>
      <xdr:row>36</xdr:row>
      <xdr:rowOff>9525</xdr:rowOff>
    </xdr:to>
    <mc:AlternateContent xmlns:mc="http://schemas.openxmlformats.org/markup-compatibility/2006" xmlns:a14="http://schemas.microsoft.com/office/drawing/2010/main">
      <mc:Choice Requires="a14">
        <xdr:graphicFrame macro="">
          <xdr:nvGraphicFramePr>
            <xdr:cNvPr id="113" name="Education Field 3">
              <a:extLst>
                <a:ext uri="{FF2B5EF4-FFF2-40B4-BE49-F238E27FC236}">
                  <a16:creationId xmlns:a16="http://schemas.microsoft.com/office/drawing/2014/main" id="{5816EE81-1CE5-4F55-8FC8-B31A01C6C175}"/>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0934700" y="5229225"/>
              <a:ext cx="1419225"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22</xdr:col>
      <xdr:colOff>190500</xdr:colOff>
      <xdr:row>19</xdr:row>
      <xdr:rowOff>47625</xdr:rowOff>
    </xdr:from>
    <xdr:ext cx="184731" cy="264560"/>
    <xdr:sp macro="" textlink="">
      <xdr:nvSpPr>
        <xdr:cNvPr id="115" name="TextBox 114">
          <a:extLst>
            <a:ext uri="{FF2B5EF4-FFF2-40B4-BE49-F238E27FC236}">
              <a16:creationId xmlns:a16="http://schemas.microsoft.com/office/drawing/2014/main" id="{16C67805-8440-2729-EF61-4E55CE6164E6}"/>
            </a:ext>
          </a:extLst>
        </xdr:cNvPr>
        <xdr:cNvSpPr txBox="1"/>
      </xdr:nvSpPr>
      <xdr:spPr>
        <a:xfrm>
          <a:off x="14859000" y="384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16</xdr:col>
      <xdr:colOff>114300</xdr:colOff>
      <xdr:row>25</xdr:row>
      <xdr:rowOff>28575</xdr:rowOff>
    </xdr:from>
    <xdr:to>
      <xdr:col>18</xdr:col>
      <xdr:colOff>133350</xdr:colOff>
      <xdr:row>26</xdr:row>
      <xdr:rowOff>28575</xdr:rowOff>
    </xdr:to>
    <xdr:sp macro="" textlink="">
      <xdr:nvSpPr>
        <xdr:cNvPr id="116" name="TextBox 115">
          <a:extLst>
            <a:ext uri="{FF2B5EF4-FFF2-40B4-BE49-F238E27FC236}">
              <a16:creationId xmlns:a16="http://schemas.microsoft.com/office/drawing/2014/main" id="{D37953B1-76E0-AADD-E4B4-7C5AB55B4F9F}"/>
            </a:ext>
          </a:extLst>
        </xdr:cNvPr>
        <xdr:cNvSpPr txBox="1"/>
      </xdr:nvSpPr>
      <xdr:spPr>
        <a:xfrm>
          <a:off x="10782300" y="5029200"/>
          <a:ext cx="13525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50000"/>
                </a:schemeClr>
              </a:solidFill>
            </a:rPr>
            <a:t>Education Field</a:t>
          </a:r>
        </a:p>
      </xdr:txBody>
    </xdr:sp>
    <xdr:clientData/>
  </xdr:twoCellAnchor>
  <xdr:twoCellAnchor>
    <xdr:from>
      <xdr:col>17</xdr:col>
      <xdr:colOff>600075</xdr:colOff>
      <xdr:row>25</xdr:row>
      <xdr:rowOff>66676</xdr:rowOff>
    </xdr:from>
    <xdr:to>
      <xdr:col>19</xdr:col>
      <xdr:colOff>409575</xdr:colOff>
      <xdr:row>26</xdr:row>
      <xdr:rowOff>19051</xdr:rowOff>
    </xdr:to>
    <xdr:sp macro="" textlink="">
      <xdr:nvSpPr>
        <xdr:cNvPr id="117" name="TextBox 116">
          <a:extLst>
            <a:ext uri="{FF2B5EF4-FFF2-40B4-BE49-F238E27FC236}">
              <a16:creationId xmlns:a16="http://schemas.microsoft.com/office/drawing/2014/main" id="{3CA67FF3-4ABE-4F4C-B0D5-5C107F09533C}"/>
            </a:ext>
          </a:extLst>
        </xdr:cNvPr>
        <xdr:cNvSpPr txBox="1"/>
      </xdr:nvSpPr>
      <xdr:spPr>
        <a:xfrm>
          <a:off x="11934825" y="5067301"/>
          <a:ext cx="11430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50000"/>
                </a:schemeClr>
              </a:solidFill>
            </a:rPr>
            <a:t>Department</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5438"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pathak" refreshedDate="46143.450355092595" createdVersion="8" refreshedVersion="8" minRefreshableVersion="3" recordCount="1470" xr:uid="{C4E5ED7C-34DA-4167-AEC4-1DB0BA5A35AF}">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37113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784D1-6664-4164-923C-1BE2764A72E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3F87A1-0EA6-473A-B2FB-748EE23B12EF}"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3411D-6BEC-465E-81F0-50BCCADC900D}"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A5132-BA6C-4179-8595-3F61BEE6B658}"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FFC33-664E-4187-8C8D-50F92D998A14}"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F7438-3C6D-4154-91E9-BBD838FFFA80}"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dataField="1"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1AD56D-F278-4BDB-A825-0E4116754E24}"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CEDB8F-E149-4682-AF85-9B993F13608F}"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F9933337-E15E-41A3-850E-453214E6743D}" sourceName="Gender">
  <pivotTables>
    <pivotTable tabId="12" name="Gender"/>
    <pivotTable tabId="16" name="Attrition by Age group"/>
    <pivotTable tabId="14" name="Attrition by Job"/>
    <pivotTable tabId="15" name="Dept wise Attrition"/>
    <pivotTable tabId="13" name="Education by Attrition"/>
    <pivotTable tabId="7" name="KPI"/>
    <pivotTable tabId="17" name="Marital Status"/>
    <pivotTable tabId="11" name="Rating"/>
  </pivotTables>
  <data>
    <tabular pivotCacheId="4371139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F09DDC2-6521-4EFE-B80C-BC8B41C7BFE3}" sourceName="Department">
  <pivotTables>
    <pivotTable tabId="16" name="Attrition by Age group"/>
    <pivotTable tabId="14" name="Attrition by Job"/>
    <pivotTable tabId="15" name="Dept wise Attrition"/>
    <pivotTable tabId="13" name="Education by Attrition"/>
    <pivotTable tabId="12" name="Gender"/>
    <pivotTable tabId="7" name="KPI"/>
    <pivotTable tabId="17" name="Marital Status"/>
    <pivotTable tabId="11" name="Rating"/>
  </pivotTables>
  <data>
    <tabular pivotCacheId="43711395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9DE7BEC5-A036-489A-881E-D33F44F5BAD4}" sourceName="Education Field">
  <pivotTables>
    <pivotTable tabId="16" name="Attrition by Age group"/>
    <pivotTable tabId="14" name="Attrition by Job"/>
    <pivotTable tabId="15" name="Dept wise Attrition"/>
    <pivotTable tabId="13" name="Education by Attrition"/>
    <pivotTable tabId="12" name="Gender"/>
    <pivotTable tabId="7" name="KPI"/>
    <pivotTable tabId="17" name="Marital Status"/>
    <pivotTable tabId="11" name="Rating"/>
  </pivotTables>
  <data>
    <tabular pivotCacheId="43711395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A6B3C1D-C57A-4634-80F6-5BA804824445}"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807B25D-5CEC-4D3C-B927-A7A2343FFCF0}" cache="Slicer_Gender2" caption="Gender" rowHeight="260350"/>
  <slicer name="Education Field" xr10:uid="{F022037E-308A-4216-95CB-CD9D5878666D}"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6B8AABD-5252-493F-B9BA-E169ACF5ACB3}" cache="Slicer_Gender2" caption="Gender" rowHeight="260350"/>
  <slicer name="Education Field 1" xr10:uid="{BADC3C9C-ED6A-4BA1-920D-AFF5E061ABEA}"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9A60EF9-584B-49BB-AA73-A04E66614947}" cache="Slicer_Department" caption="Department" rowHeight="260350"/>
  <slicer name="Education Field 2" xr10:uid="{9A3BCC86-D67B-490F-83B4-1C1E296C21DC}"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FD7D398D-6A71-4434-97A0-E4D03335260D}" cache="Slicer_Gender2" caption="Gender" columnCount="2" style="Slicer " rowHeight="260350"/>
  <slicer name="Department 1" xr10:uid="{A57A4428-F797-472F-A783-00E394D5950B}" cache="Slicer_Department" style="Slicer " rowHeight="260350"/>
  <slicer name="Education Field 3" xr10:uid="{D6ABCB44-1D9D-41A0-897F-73B7E850CA21}" cache="Slicer_Education_Field2"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1E1F2-5678-48E8-8E27-4C571657FEEB}">
  <dimension ref="A3:E7"/>
  <sheetViews>
    <sheetView zoomScaleNormal="100" workbookViewId="0">
      <selection activeCell="U26" sqref="U26"/>
    </sheetView>
  </sheetViews>
  <sheetFormatPr defaultRowHeight="15.6" x14ac:dyDescent="0.3"/>
  <cols>
    <col min="1" max="1" width="24.5" bestFit="1" customWidth="1"/>
    <col min="2" max="2" width="22.796875" bestFit="1" customWidth="1"/>
    <col min="3" max="3" width="13.5" bestFit="1" customWidth="1"/>
    <col min="4" max="4" width="14.796875" bestFit="1" customWidth="1"/>
    <col min="5" max="5" width="12.3984375" bestFit="1" customWidth="1"/>
  </cols>
  <sheetData>
    <row r="3" spans="1:5" x14ac:dyDescent="0.3">
      <c r="A3" s="2" t="s">
        <v>1554</v>
      </c>
      <c r="B3" s="5" t="s">
        <v>1555</v>
      </c>
      <c r="C3" s="4" t="s">
        <v>1556</v>
      </c>
    </row>
    <row r="4" spans="1:5" x14ac:dyDescent="0.3">
      <c r="A4" s="25">
        <v>1470</v>
      </c>
      <c r="B4" s="26">
        <v>237</v>
      </c>
      <c r="C4" s="27">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9">
        <f>GETPIVOTDATA("Average of Age",$A$3)</f>
        <v>36.923809523809524</v>
      </c>
      <c r="D7">
        <f>A7-B7</f>
        <v>1233</v>
      </c>
      <c r="E7" s="7">
        <f>B7/A7</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9BF36-77BB-481F-86F7-941BECA1728F}">
  <dimension ref="A3:C7"/>
  <sheetViews>
    <sheetView workbookViewId="0">
      <selection activeCell="H18" sqref="H18"/>
    </sheetView>
  </sheetViews>
  <sheetFormatPr defaultRowHeight="15.6" x14ac:dyDescent="0.3"/>
  <cols>
    <col min="1" max="1" width="23.59765625" bestFit="1" customWidth="1"/>
    <col min="2" max="2" width="10.3984375" bestFit="1" customWidth="1"/>
  </cols>
  <sheetData>
    <row r="3" spans="1:3" x14ac:dyDescent="0.3">
      <c r="A3" s="3" t="s">
        <v>1562</v>
      </c>
    </row>
    <row r="4" spans="1:3" x14ac:dyDescent="0.3">
      <c r="A4" s="12">
        <v>2.6265306122448981</v>
      </c>
    </row>
    <row r="6" spans="1:3" x14ac:dyDescent="0.3">
      <c r="A6" s="13" t="s">
        <v>1563</v>
      </c>
      <c r="B6" s="8">
        <f>GETPIVOTDATA("Job Satisfaction",$A$3)</f>
        <v>2.6265306122448981</v>
      </c>
      <c r="C6">
        <f>B6/4</f>
        <v>0.65663265306122454</v>
      </c>
    </row>
    <row r="7" spans="1:3" x14ac:dyDescent="0.3">
      <c r="A7" s="13" t="s">
        <v>1564</v>
      </c>
      <c r="B7" s="8">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4D5F-2548-4542-A4EB-9568C6468A41}">
  <dimension ref="A3:C9"/>
  <sheetViews>
    <sheetView workbookViewId="0">
      <selection activeCell="B19" sqref="B19"/>
    </sheetView>
  </sheetViews>
  <sheetFormatPr defaultRowHeight="15.6" x14ac:dyDescent="0.3"/>
  <cols>
    <col min="1" max="1" width="12.19921875" bestFit="1" customWidth="1"/>
    <col min="2" max="2" width="22.796875" bestFit="1" customWidth="1"/>
  </cols>
  <sheetData>
    <row r="3" spans="1:3" x14ac:dyDescent="0.3">
      <c r="A3" s="14" t="s">
        <v>1565</v>
      </c>
      <c r="B3" s="3" t="s">
        <v>1567</v>
      </c>
    </row>
    <row r="4" spans="1:3" x14ac:dyDescent="0.3">
      <c r="A4" s="15" t="s">
        <v>51</v>
      </c>
      <c r="B4" s="21">
        <v>588</v>
      </c>
    </row>
    <row r="5" spans="1:3" x14ac:dyDescent="0.3">
      <c r="A5" s="16" t="s">
        <v>62</v>
      </c>
      <c r="B5" s="22">
        <v>882</v>
      </c>
    </row>
    <row r="6" spans="1:3" x14ac:dyDescent="0.3">
      <c r="A6" s="17" t="s">
        <v>1566</v>
      </c>
      <c r="B6" s="23">
        <v>1470</v>
      </c>
    </row>
    <row r="8" spans="1:3" x14ac:dyDescent="0.3">
      <c r="A8" s="18" t="s">
        <v>51</v>
      </c>
      <c r="B8">
        <f>IFERROR(GETPIVOTDATA("Employee Count",$A$3,"Gender","Female"),0)</f>
        <v>588</v>
      </c>
      <c r="C8" s="6">
        <f>IFERROR(B8/($B$8+$B$9),0)</f>
        <v>0.4</v>
      </c>
    </row>
    <row r="9" spans="1:3" x14ac:dyDescent="0.3">
      <c r="A9" s="18" t="s">
        <v>62</v>
      </c>
      <c r="B9">
        <f>IFERROR(GETPIVOTDATA("Employee Count",$A$3,"Gender","Male"),0)</f>
        <v>882</v>
      </c>
      <c r="C9" s="6">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2C49-5D96-489A-94E6-AAD0CAD51699}">
  <dimension ref="A3:B9"/>
  <sheetViews>
    <sheetView workbookViewId="0">
      <selection activeCell="P11" sqref="P11"/>
    </sheetView>
  </sheetViews>
  <sheetFormatPr defaultRowHeight="15.6" x14ac:dyDescent="0.3"/>
  <cols>
    <col min="1" max="1" width="16" bestFit="1" customWidth="1"/>
    <col min="2" max="2" width="22.796875" bestFit="1" customWidth="1"/>
  </cols>
  <sheetData>
    <row r="3" spans="1:2" x14ac:dyDescent="0.3">
      <c r="A3" s="14" t="s">
        <v>1565</v>
      </c>
      <c r="B3" s="3" t="s">
        <v>1555</v>
      </c>
    </row>
    <row r="4" spans="1:2" x14ac:dyDescent="0.3">
      <c r="A4" s="15" t="s">
        <v>134</v>
      </c>
      <c r="B4" s="21">
        <v>5</v>
      </c>
    </row>
    <row r="5" spans="1:2" x14ac:dyDescent="0.3">
      <c r="A5" s="16" t="s">
        <v>65</v>
      </c>
      <c r="B5" s="22">
        <v>31</v>
      </c>
    </row>
    <row r="6" spans="1:2" x14ac:dyDescent="0.3">
      <c r="A6" s="16" t="s">
        <v>55</v>
      </c>
      <c r="B6" s="22">
        <v>44</v>
      </c>
    </row>
    <row r="7" spans="1:2" x14ac:dyDescent="0.3">
      <c r="A7" s="16" t="s">
        <v>71</v>
      </c>
      <c r="B7" s="22">
        <v>58</v>
      </c>
    </row>
    <row r="8" spans="1:2" x14ac:dyDescent="0.3">
      <c r="A8" s="16" t="s">
        <v>77</v>
      </c>
      <c r="B8" s="22">
        <v>99</v>
      </c>
    </row>
    <row r="9" spans="1:2" x14ac:dyDescent="0.3">
      <c r="A9" s="17" t="s">
        <v>1566</v>
      </c>
      <c r="B9" s="2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10D4-B605-4B01-92D4-3C9F84676C44}">
  <dimension ref="A3:E13"/>
  <sheetViews>
    <sheetView workbookViewId="0">
      <selection activeCell="H20" sqref="H20"/>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4" t="s">
        <v>1565</v>
      </c>
      <c r="B3" s="3" t="s">
        <v>1555</v>
      </c>
      <c r="D3" s="13" t="s">
        <v>9</v>
      </c>
      <c r="E3" s="13" t="s">
        <v>0</v>
      </c>
    </row>
    <row r="4" spans="1:5" x14ac:dyDescent="0.3">
      <c r="A4" s="15" t="s">
        <v>83</v>
      </c>
      <c r="B4" s="21">
        <v>9</v>
      </c>
      <c r="D4" t="str">
        <f>A4</f>
        <v>Healthcare Representative</v>
      </c>
      <c r="E4">
        <f>GETPIVOTDATA("CF_attrition count",$A$3,"Job Role",A4)</f>
        <v>9</v>
      </c>
    </row>
    <row r="5" spans="1:5" x14ac:dyDescent="0.3">
      <c r="A5" s="16" t="s">
        <v>163</v>
      </c>
      <c r="B5" s="22">
        <v>12</v>
      </c>
      <c r="D5" t="str">
        <f t="shared" ref="D5:D12" si="0">A5</f>
        <v>Human Resources</v>
      </c>
      <c r="E5">
        <f t="shared" ref="E5:E12" si="1">GETPIVOTDATA("CF_attrition count",$A$3,"Job Role",A5)</f>
        <v>12</v>
      </c>
    </row>
    <row r="6" spans="1:5" x14ac:dyDescent="0.3">
      <c r="A6" s="16" t="s">
        <v>68</v>
      </c>
      <c r="B6" s="22">
        <v>62</v>
      </c>
      <c r="D6" t="str">
        <f t="shared" si="0"/>
        <v>Laboratory Technician</v>
      </c>
      <c r="E6">
        <f t="shared" si="1"/>
        <v>62</v>
      </c>
    </row>
    <row r="7" spans="1:5" x14ac:dyDescent="0.3">
      <c r="A7" s="16" t="s">
        <v>95</v>
      </c>
      <c r="B7" s="22">
        <v>5</v>
      </c>
      <c r="D7" t="str">
        <f t="shared" si="0"/>
        <v>Manager</v>
      </c>
      <c r="E7">
        <f t="shared" si="1"/>
        <v>5</v>
      </c>
    </row>
    <row r="8" spans="1:5" x14ac:dyDescent="0.3">
      <c r="A8" s="16" t="s">
        <v>81</v>
      </c>
      <c r="B8" s="22">
        <v>10</v>
      </c>
      <c r="D8" t="str">
        <f t="shared" si="0"/>
        <v>Manufacturing Director</v>
      </c>
      <c r="E8">
        <f t="shared" si="1"/>
        <v>10</v>
      </c>
    </row>
    <row r="9" spans="1:5" x14ac:dyDescent="0.3">
      <c r="A9" s="16" t="s">
        <v>101</v>
      </c>
      <c r="B9" s="22">
        <v>2</v>
      </c>
      <c r="D9" t="str">
        <f t="shared" si="0"/>
        <v>Research Director</v>
      </c>
      <c r="E9">
        <f t="shared" si="1"/>
        <v>2</v>
      </c>
    </row>
    <row r="10" spans="1:5" x14ac:dyDescent="0.3">
      <c r="A10" s="16" t="s">
        <v>63</v>
      </c>
      <c r="B10" s="22">
        <v>47</v>
      </c>
      <c r="D10" t="str">
        <f t="shared" si="0"/>
        <v>Research Scientist</v>
      </c>
      <c r="E10">
        <f t="shared" si="1"/>
        <v>47</v>
      </c>
    </row>
    <row r="11" spans="1:5" x14ac:dyDescent="0.3">
      <c r="A11" s="16" t="s">
        <v>52</v>
      </c>
      <c r="B11" s="22">
        <v>57</v>
      </c>
      <c r="D11" t="str">
        <f>A11</f>
        <v>Sales Executive</v>
      </c>
      <c r="E11">
        <f t="shared" si="1"/>
        <v>57</v>
      </c>
    </row>
    <row r="12" spans="1:5" x14ac:dyDescent="0.3">
      <c r="A12" s="16" t="s">
        <v>99</v>
      </c>
      <c r="B12" s="22">
        <v>33</v>
      </c>
      <c r="D12" t="str">
        <f t="shared" si="0"/>
        <v>Sales Representative</v>
      </c>
      <c r="E12">
        <f t="shared" si="1"/>
        <v>33</v>
      </c>
    </row>
    <row r="13" spans="1:5" x14ac:dyDescent="0.3">
      <c r="A13" s="17" t="s">
        <v>1566</v>
      </c>
      <c r="B13" s="2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1264-47AB-428C-B089-6EACFBD7A1F1}">
  <dimension ref="A3:B7"/>
  <sheetViews>
    <sheetView workbookViewId="0">
      <selection activeCell="B5" sqref="B5"/>
    </sheetView>
  </sheetViews>
  <sheetFormatPr defaultRowHeight="15.6" x14ac:dyDescent="0.3"/>
  <cols>
    <col min="1" max="1" width="12.19921875" bestFit="1" customWidth="1"/>
    <col min="2" max="2" width="16" bestFit="1" customWidth="1"/>
  </cols>
  <sheetData>
    <row r="3" spans="1:2" x14ac:dyDescent="0.3">
      <c r="A3" s="14" t="s">
        <v>1565</v>
      </c>
      <c r="B3" s="3" t="s">
        <v>1568</v>
      </c>
    </row>
    <row r="4" spans="1:2" x14ac:dyDescent="0.3">
      <c r="A4" s="15" t="s">
        <v>161</v>
      </c>
      <c r="B4" s="19">
        <v>4.2857142857142858E-2</v>
      </c>
    </row>
    <row r="5" spans="1:2" x14ac:dyDescent="0.3">
      <c r="A5" s="16" t="s">
        <v>60</v>
      </c>
      <c r="B5" s="24">
        <v>0.65374149659863945</v>
      </c>
    </row>
    <row r="6" spans="1:2" x14ac:dyDescent="0.3">
      <c r="A6" s="16" t="s">
        <v>48</v>
      </c>
      <c r="B6" s="24">
        <v>0.30340136054421768</v>
      </c>
    </row>
    <row r="7" spans="1:2" x14ac:dyDescent="0.3">
      <c r="A7" s="17" t="s">
        <v>1566</v>
      </c>
      <c r="B7" s="2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B7BC-236D-4C2E-85C6-17CF00CE3973}">
  <dimension ref="A3:B9"/>
  <sheetViews>
    <sheetView workbookViewId="0">
      <selection activeCell="B7" sqref="B7"/>
    </sheetView>
  </sheetViews>
  <sheetFormatPr defaultRowHeight="15.6" x14ac:dyDescent="0.3"/>
  <cols>
    <col min="1" max="1" width="12.19921875" bestFit="1" customWidth="1"/>
    <col min="2" max="2" width="22.796875" bestFit="1" customWidth="1"/>
  </cols>
  <sheetData>
    <row r="3" spans="1:2" x14ac:dyDescent="0.3">
      <c r="A3" s="14" t="s">
        <v>1565</v>
      </c>
      <c r="B3" s="3" t="s">
        <v>1555</v>
      </c>
    </row>
    <row r="4" spans="1:2" x14ac:dyDescent="0.3">
      <c r="A4" s="15" t="s">
        <v>69</v>
      </c>
      <c r="B4" s="21">
        <v>112</v>
      </c>
    </row>
    <row r="5" spans="1:2" x14ac:dyDescent="0.3">
      <c r="A5" s="16" t="s">
        <v>46</v>
      </c>
      <c r="B5" s="22">
        <v>51</v>
      </c>
    </row>
    <row r="6" spans="1:2" x14ac:dyDescent="0.3">
      <c r="A6" s="16" t="s">
        <v>92</v>
      </c>
      <c r="B6" s="22">
        <v>38</v>
      </c>
    </row>
    <row r="7" spans="1:2" x14ac:dyDescent="0.3">
      <c r="A7" s="16" t="s">
        <v>58</v>
      </c>
      <c r="B7" s="22">
        <v>25</v>
      </c>
    </row>
    <row r="8" spans="1:2" x14ac:dyDescent="0.3">
      <c r="A8" s="16" t="s">
        <v>75</v>
      </c>
      <c r="B8" s="22">
        <v>11</v>
      </c>
    </row>
    <row r="9" spans="1:2" x14ac:dyDescent="0.3">
      <c r="A9" s="17" t="s">
        <v>1566</v>
      </c>
      <c r="B9" s="2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FE11-42CA-45FB-9D28-B5C21B383F50}">
  <dimension ref="A3:E7"/>
  <sheetViews>
    <sheetView topLeftCell="B1" workbookViewId="0">
      <selection activeCell="B5" sqref="B5"/>
    </sheetView>
  </sheetViews>
  <sheetFormatPr defaultRowHeight="15.6" x14ac:dyDescent="0.3"/>
  <cols>
    <col min="1" max="1" width="12.19921875" bestFit="1" customWidth="1"/>
    <col min="2" max="2" width="16" bestFit="1" customWidth="1"/>
    <col min="4" max="4" width="12.69921875" bestFit="1" customWidth="1"/>
  </cols>
  <sheetData>
    <row r="3" spans="1:5" x14ac:dyDescent="0.3">
      <c r="A3" s="14" t="s">
        <v>1565</v>
      </c>
      <c r="B3" s="3" t="s">
        <v>1568</v>
      </c>
      <c r="D3" s="13" t="s">
        <v>10</v>
      </c>
      <c r="E3" s="13" t="s">
        <v>0</v>
      </c>
    </row>
    <row r="4" spans="1:5" x14ac:dyDescent="0.3">
      <c r="A4" s="15" t="s">
        <v>79</v>
      </c>
      <c r="B4" s="21">
        <v>327</v>
      </c>
      <c r="D4" t="str">
        <f>A4</f>
        <v>Divorced</v>
      </c>
      <c r="E4">
        <f>GETPIVOTDATA("Attrition",$A$3,"Marital Status",A4)</f>
        <v>327</v>
      </c>
    </row>
    <row r="5" spans="1:5" x14ac:dyDescent="0.3">
      <c r="A5" s="16" t="s">
        <v>53</v>
      </c>
      <c r="B5" s="22">
        <v>470</v>
      </c>
      <c r="D5" t="str">
        <f>A5</f>
        <v>Single</v>
      </c>
      <c r="E5">
        <f>GETPIVOTDATA("Attrition",$A$3,"Marital Status",A5)</f>
        <v>470</v>
      </c>
    </row>
    <row r="6" spans="1:5" x14ac:dyDescent="0.3">
      <c r="A6" s="16" t="s">
        <v>64</v>
      </c>
      <c r="B6" s="22">
        <v>673</v>
      </c>
      <c r="D6" t="str">
        <f>A6</f>
        <v>Married</v>
      </c>
      <c r="E6">
        <f>GETPIVOTDATA("Attrition",$A$3,"Marital Status",A6)</f>
        <v>673</v>
      </c>
    </row>
    <row r="7" spans="1:5" x14ac:dyDescent="0.3">
      <c r="A7" s="17" t="s">
        <v>1566</v>
      </c>
      <c r="B7" s="23">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10" sqref="C1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6.5" bestFit="1"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6D38-70F9-40FC-957A-EF5F7B829323}">
  <dimension ref="C15"/>
  <sheetViews>
    <sheetView showGridLines="0" tabSelected="1" topLeftCell="A9" zoomScale="80" zoomScaleNormal="80" workbookViewId="0">
      <selection activeCell="V16" sqref="V16"/>
    </sheetView>
  </sheetViews>
  <sheetFormatPr defaultRowHeight="15.6" x14ac:dyDescent="0.3"/>
  <cols>
    <col min="1" max="16384" width="8.796875" style="11"/>
  </cols>
  <sheetData>
    <row r="15" spans="3:3" x14ac:dyDescent="0.3">
      <c r="C1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64"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opLeftCell="A16"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KPI</vt:lpstr>
      <vt:lpstr>Rating</vt:lpstr>
      <vt:lpstr>Gender</vt:lpstr>
      <vt:lpstr>Education by Attrition</vt:lpstr>
      <vt:lpstr>Attrition by Job</vt:lpstr>
      <vt:lpstr>Dept wise Attrition</vt:lpstr>
      <vt:lpstr>Attrition by Age group</vt:lpstr>
      <vt:lpstr>Marital Status</vt:lpstr>
      <vt:lpstr>Data</vt:lpstr>
      <vt:lpstr>Images</vt:lpstr>
      <vt:lpstr>Background 1</vt:lpstr>
      <vt:lpstr>Dashboard</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Mohit pathak</cp:lastModifiedBy>
  <dcterms:created xsi:type="dcterms:W3CDTF">2022-12-29T16:02:46Z</dcterms:created>
  <dcterms:modified xsi:type="dcterms:W3CDTF">2026-05-02T17:47:27Z</dcterms:modified>
</cp:coreProperties>
</file>